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65D32167-7B4F-451E-9170-0DF8DFF0B366}" xr6:coauthVersionLast="47" xr6:coauthVersionMax="47" xr10:uidLastSave="{00000000-0000-0000-0000-000000000000}"/>
  <bookViews>
    <workbookView xWindow="-120" yWindow="-120" windowWidth="20730" windowHeight="11160" xr2:uid="{96076FC3-5A33-418F-8454-49C82953ECC2}"/>
  </bookViews>
  <sheets>
    <sheet name="Sheet1" sheetId="1" r:id="rId1"/>
    <sheet name="Original data" sheetId="2" r:id="rId2"/>
  </sheets>
  <definedNames>
    <definedName name="Ingredient">Sheet1!$E$18</definedName>
    <definedName name="Name">Sheet1!$E$17</definedName>
    <definedName name="Total">Sheet1!$E$20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" l="1" a="1"/>
  <c r="E20" i="1" s="1"/>
  <c r="F20" i="1"/>
  <c r="L14" i="1" l="1"/>
  <c r="K14" i="1"/>
  <c r="J14" i="1"/>
  <c r="I14" i="1"/>
  <c r="H14" i="1"/>
  <c r="G14" i="1"/>
  <c r="F14" i="1"/>
  <c r="E14" i="1"/>
  <c r="D14" i="1"/>
  <c r="C14" i="1"/>
  <c r="L14" i="2" l="1"/>
  <c r="K14" i="2"/>
  <c r="J14" i="2"/>
  <c r="I14" i="2"/>
  <c r="H14" i="2"/>
  <c r="G14" i="2"/>
  <c r="F14" i="2"/>
  <c r="E14" i="2"/>
  <c r="D14" i="2"/>
  <c r="C1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<sst xmlns="http://schemas.openxmlformats.org/spreadsheetml/2006/main" count="79" uniqueCount="29">
  <si>
    <t>Flour</t>
  </si>
  <si>
    <t>Eggs</t>
  </si>
  <si>
    <t>Sugar</t>
  </si>
  <si>
    <t>Baking powder</t>
  </si>
  <si>
    <t>Baking soda</t>
  </si>
  <si>
    <t>cups</t>
  </si>
  <si>
    <t>tsp</t>
  </si>
  <si>
    <t>Salt</t>
  </si>
  <si>
    <t>Milk</t>
  </si>
  <si>
    <t>Butter</t>
  </si>
  <si>
    <t>Vanilla</t>
  </si>
  <si>
    <t>Shopping List</t>
  </si>
  <si>
    <t>Abby</t>
  </si>
  <si>
    <t>Bill</t>
  </si>
  <si>
    <t>Cathy</t>
  </si>
  <si>
    <t>Derek</t>
  </si>
  <si>
    <t>Emily</t>
  </si>
  <si>
    <t>Name</t>
  </si>
  <si>
    <t>Date</t>
  </si>
  <si>
    <t>Bananas</t>
  </si>
  <si>
    <t>Name:</t>
  </si>
  <si>
    <t>Ingredient:</t>
  </si>
  <si>
    <t>Total:</t>
  </si>
  <si>
    <t>Total</t>
  </si>
  <si>
    <t>(*Do NOT move the location of these cells!*)</t>
  </si>
  <si>
    <t>(*Do NOT rename Sheet1!*)</t>
  </si>
  <si>
    <t>*Cells E17, E18, and E20 have been named "Name", "Ingredient",</t>
  </si>
  <si>
    <t>and "Total", respectively.  Please do not delete nor change these names!</t>
  </si>
  <si>
    <t>Place any intermediate calculations ONLY in the space below (NOT in any of the rows above)!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</si>
</sst>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2" borderId="7" xfId="0" applyFill="1" applyBorder="1"/>
    <xf numFmtId="0" fontId="1" fillId="3" borderId="1" xfId="0" applyFont="1" applyFill="1" applyBorder="1"/>
    <xf numFmtId="14" fontId="1" fillId="3" borderId="1" xfId="0" applyNumberFormat="1" applyFont="1" applyFill="1" applyBorder="1"/>
    <xf numFmtId="0" fontId="0" fillId="0" borderId="9" xfId="0" applyBorder="1"/>
    <xf numFmtId="0" fontId="0" fillId="2" borderId="1" xfId="0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4" fontId="1" fillId="3" borderId="1" xfId="0" quotePrefix="1" applyNumberFormat="1" applyFont="1" applyFill="1" applyBorder="1"/>
  </cellXfs>
  <cellStyles count="1">
    <cellStyle name="Normal" xfId="0" builtinId="0"/>
  </cellStyles>
  <dxfs count="4">
    <dxf>
      <numFmt numFmtId="164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485775</xdr:colOff>
          <xdr:row>19</xdr:row>
          <xdr:rowOff>95250</xdr:rowOff>
        </xdr:from>
        <xdr:to>
          <xdr:col>9</xdr:col>
          <xdr:colOff>219075</xdr:colOff>
          <xdr:row>21</xdr:row>
          <xdr:rowOff>152400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76CAB7-9AF6-468E-9A46-FCCCD593D622}" name="ShoppingTable" displayName="ShoppingTable" ref="A3:L14" totalsRowCount="1" headerRowDxfId="3">
  <autoFilter ref="A3:L13" xr:uid="{CCCF31C1-170B-4DD1-A589-9EA696C0FFEC}"/>
  <tableColumns count="12">
    <tableColumn id="1" xr3:uid="{2C315248-6FB8-46D5-AFE4-AA83025AF8B6}" name="Date" totalsRowLabel="Total" dataDxfId="2"/>
    <tableColumn id="2" xr3:uid="{1F34BDC9-2939-48A9-BDB6-4FEA6F3BB69E}" name="Name"/>
    <tableColumn id="3" xr3:uid="{DDD53D38-AC4F-4D78-A5C7-48267490F5F8}" name="Flour" totalsRowFunction="sum"/>
    <tableColumn id="4" xr3:uid="{C1117A95-932C-4458-9A1C-30A9898880EC}" name="Sugar" totalsRowFunction="sum"/>
    <tableColumn id="5" xr3:uid="{D697F212-29E0-4525-9146-8963AAEC88C1}" name="Baking powder" totalsRowFunction="sum"/>
    <tableColumn id="6" xr3:uid="{D916EBE4-B14E-48E0-B90B-856AC3805C47}" name="Baking soda" totalsRowFunction="sum"/>
    <tableColumn id="7" xr3:uid="{37FD537F-EAB0-4C63-8938-58CFF97546ED}" name="Salt" totalsRowFunction="sum"/>
    <tableColumn id="8" xr3:uid="{7B8E24EB-1B31-4E76-BE58-4F942A7C598D}" name="Milk" totalsRowFunction="sum"/>
    <tableColumn id="9" xr3:uid="{F501FE57-8DC8-4FDC-BA95-5D3D7DC4C1F6}" name="Butter" totalsRowFunction="sum"/>
    <tableColumn id="10" xr3:uid="{07F5B489-D65F-4374-83A7-C640F8F16F64}" name="Vanilla" totalsRowFunction="sum"/>
    <tableColumn id="11" xr3:uid="{26DFBD3B-65F4-437D-A9BF-E882C369FF8E}" name="Eggs" totalsRowFunction="sum"/>
    <tableColumn id="12" xr3:uid="{C826258F-03BC-4966-9DBB-1B74442E2428}" name="Bananas" totalsRowFunction="sum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21EFB4-D987-4775-A894-606F35BB9CB6}" name="Table25" displayName="Table25" ref="A3:L14" totalsRowCount="1" headerRowDxfId="1">
  <autoFilter ref="A3:L13" xr:uid="{C56BBCCE-6426-4C2D-96B5-55FE3A63CACC}"/>
  <tableColumns count="12">
    <tableColumn id="1" xr3:uid="{717E145C-65A4-49B6-A3B4-1B2E54B56EBB}" name="Date" totalsRowLabel="Total" dataDxfId="0"/>
    <tableColumn id="2" xr3:uid="{8217BBD5-4202-4AA7-BBB2-21C205E021E9}" name="Name"/>
    <tableColumn id="3" xr3:uid="{A5E63D06-A52A-4CB0-A0E7-7C4E65F9A169}" name="Flour" totalsRowFunction="sum"/>
    <tableColumn id="4" xr3:uid="{A1CFB42B-87E2-468B-AFF6-E0ECC9803261}" name="Sugar" totalsRowFunction="sum"/>
    <tableColumn id="5" xr3:uid="{35A3E810-4630-48FB-831F-10CAC4731195}" name="Baking powder" totalsRowFunction="sum"/>
    <tableColumn id="6" xr3:uid="{14B4AA4B-2A33-4FEF-B698-5E0E04C85A35}" name="Baking soda" totalsRowFunction="sum"/>
    <tableColumn id="7" xr3:uid="{FDAC7CD2-F6F0-493E-8C58-648A18F397D9}" name="Salt" totalsRowFunction="sum"/>
    <tableColumn id="8" xr3:uid="{C6D353C9-7714-4A86-A3F8-AF7C041EA4FC}" name="Milk" totalsRowFunction="sum"/>
    <tableColumn id="9" xr3:uid="{F3534045-7AF1-43AA-9D71-E2D6548727DA}" name="Butter" totalsRowFunction="sum"/>
    <tableColumn id="10" xr3:uid="{AD3EC610-D43C-4AF7-AB28-82794C4D6AD8}" name="Vanilla" totalsRowFunction="sum"/>
    <tableColumn id="11" xr3:uid="{BA23761D-16F1-4858-B935-56A1E1A19122}" name="Eggs" totalsRowFunction="sum"/>
    <tableColumn id="12" xr3:uid="{8A1FBBB6-0BD0-4046-A052-C10956ABF94B}" name="Bananas" totalsRowFunction="sum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B8902-5537-450F-B408-63106F47A7BF}">
  <sheetPr codeName="Sheet1"/>
  <dimension ref="A1:L25"/>
  <sheetViews>
    <sheetView tabSelected="1" topLeftCell="A9" zoomScale="125" zoomScaleNormal="125" workbookViewId="0">
      <selection activeCell="E17" sqref="E17"/>
    </sheetView>
  </sheetViews>
  <sheetFormatPr defaultColWidth="9.140625" defaultRowHeight="15" x14ac:dyDescent="0.25"/>
  <cols>
    <col min="1" max="1" width="12.7109375" bestFit="1" customWidth="1"/>
    <col min="5" max="5" width="14.42578125" customWidth="1"/>
    <col min="6" max="6" width="12" customWidth="1"/>
  </cols>
  <sheetData>
    <row r="1" spans="1:12" x14ac:dyDescent="0.25">
      <c r="A1" s="2" t="s">
        <v>11</v>
      </c>
    </row>
    <row r="2" spans="1:12" x14ac:dyDescent="0.25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2" x14ac:dyDescent="0.25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2" x14ac:dyDescent="0.25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25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25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25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25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25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25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25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25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25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25">
      <c r="A14" t="s">
        <v>23</v>
      </c>
      <c r="C14">
        <f>SUBTOTAL(109,ShoppingTable[Flour])</f>
        <v>48.5</v>
      </c>
      <c r="D14">
        <f>SUBTOTAL(109,ShoppingTable[Sugar])</f>
        <v>15.75</v>
      </c>
      <c r="E14">
        <f>SUBTOTAL(109,ShoppingTable[Baking powder])</f>
        <v>16.75</v>
      </c>
      <c r="F14">
        <f>SUBTOTAL(109,ShoppingTable[Baking soda])</f>
        <v>4.5</v>
      </c>
      <c r="G14">
        <f>SUBTOTAL(109,ShoppingTable[Salt])</f>
        <v>10</v>
      </c>
      <c r="H14">
        <f>SUBTOTAL(109,ShoppingTable[Milk])</f>
        <v>16.5</v>
      </c>
      <c r="I14">
        <f>SUBTOTAL(109,ShoppingTable[Butter])</f>
        <v>18.25</v>
      </c>
      <c r="J14">
        <f>SUBTOTAL(109,ShoppingTable[Vanilla])</f>
        <v>23</v>
      </c>
      <c r="K14">
        <f>SUBTOTAL(109,ShoppingTable[Eggs])</f>
        <v>33</v>
      </c>
      <c r="L14">
        <f>SUBTOTAL(109,ShoppingTable[Bananas])</f>
        <v>5.5</v>
      </c>
    </row>
    <row r="16" spans="1:12" ht="15.75" thickBot="1" x14ac:dyDescent="0.3"/>
    <row r="17" spans="1:12" ht="15.75" thickBot="1" x14ac:dyDescent="0.3">
      <c r="D17" s="14" t="s">
        <v>20</v>
      </c>
      <c r="E17" s="20" t="s">
        <v>15</v>
      </c>
      <c r="F17" s="15"/>
      <c r="H17" t="s">
        <v>26</v>
      </c>
    </row>
    <row r="18" spans="1:12" ht="15.75" thickBot="1" x14ac:dyDescent="0.3">
      <c r="D18" s="16" t="s">
        <v>21</v>
      </c>
      <c r="E18" s="11" t="s">
        <v>2</v>
      </c>
      <c r="F18" s="17"/>
      <c r="H18" t="s">
        <v>27</v>
      </c>
    </row>
    <row r="19" spans="1:12" ht="15.75" thickBot="1" x14ac:dyDescent="0.3">
      <c r="D19" s="16"/>
      <c r="F19" s="17"/>
    </row>
    <row r="20" spans="1:12" ht="15.75" thickBot="1" x14ac:dyDescent="0.3">
      <c r="D20" s="18" t="s">
        <v>22</v>
      </c>
      <c r="E20" s="13" cm="1">
        <f t="array" ref="E20">SUM((ShoppingTable[Name]=Name)*(INDEX(ShoppingTable[[Flour]:[Bananas]], ROW(ShoppingTable[Name])-ROW(ShoppingTable[[#Headers],[Name]]), MATCH(Ingredient, ShoppingTable[[#Headers],[Flour]:[Bananas]], 0))))</f>
        <v>5.75</v>
      </c>
      <c r="F20" s="19" t="str">
        <f>IF(INDEX(C2:L2,MATCH(E18,C3:L3,0))=0,"",INDEX(C2:L2,MATCH(E18,C3:L3,0)))</f>
        <v>cups</v>
      </c>
    </row>
    <row r="21" spans="1:12" x14ac:dyDescent="0.25">
      <c r="D21" t="s">
        <v>24</v>
      </c>
    </row>
    <row r="22" spans="1:12" x14ac:dyDescent="0.25">
      <c r="D22" t="s">
        <v>25</v>
      </c>
    </row>
    <row r="25" spans="1:12" x14ac:dyDescent="0.25">
      <c r="A25" s="12" t="s">
        <v>28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dataConsolidate/>
  <dataValidations count="2">
    <dataValidation type="list" allowBlank="1" showInputMessage="1" showErrorMessage="1" sqref="E18" xr:uid="{9E6AA921-BA03-4A53-BA71-54872D0B73A0}">
      <formula1>$C$3:$L$3</formula1>
    </dataValidation>
    <dataValidation type="list" allowBlank="1" showInputMessage="1" showErrorMessage="1" sqref="E17" xr:uid="{D350FE74-64E9-4ED3-AE1C-24ABBFCA1C39}">
      <formula1>$B$4:$B$14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Grade">
                <anchor moveWithCells="1" sizeWithCells="1">
                  <from>
                    <xdr:col>7</xdr:col>
                    <xdr:colOff>485775</xdr:colOff>
                    <xdr:row>19</xdr:row>
                    <xdr:rowOff>95250</xdr:rowOff>
                  </from>
                  <to>
                    <xdr:col>9</xdr:col>
                    <xdr:colOff>219075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CAB83-3723-4C7A-8B7E-3509C7DABE20}">
  <sheetPr codeName="Sheet2"/>
  <dimension ref="A1:L22"/>
  <sheetViews>
    <sheetView workbookViewId="0">
      <selection activeCell="E20" sqref="E20"/>
    </sheetView>
  </sheetViews>
  <sheetFormatPr defaultColWidth="9.140625" defaultRowHeight="15" x14ac:dyDescent="0.25"/>
  <cols>
    <col min="1" max="1" width="12.7109375" bestFit="1" customWidth="1"/>
    <col min="5" max="5" width="14.42578125" customWidth="1"/>
    <col min="6" max="6" width="12" customWidth="1"/>
  </cols>
  <sheetData>
    <row r="1" spans="1:12" x14ac:dyDescent="0.25">
      <c r="A1" s="2" t="s">
        <v>11</v>
      </c>
    </row>
    <row r="2" spans="1:12" x14ac:dyDescent="0.25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2" x14ac:dyDescent="0.25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2" x14ac:dyDescent="0.25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25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25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25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25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25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25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25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25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25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25">
      <c r="A14" t="s">
        <v>23</v>
      </c>
      <c r="C14">
        <f>SUBTOTAL(109,Table25[Flour])</f>
        <v>48.5</v>
      </c>
      <c r="D14">
        <f>SUBTOTAL(109,Table25[Sugar])</f>
        <v>15.75</v>
      </c>
      <c r="E14">
        <f>SUBTOTAL(109,Table25[Baking powder])</f>
        <v>16.75</v>
      </c>
      <c r="F14">
        <f>SUBTOTAL(109,Table25[Baking soda])</f>
        <v>4.5</v>
      </c>
      <c r="G14">
        <f>SUBTOTAL(109,Table25[Salt])</f>
        <v>10</v>
      </c>
      <c r="H14">
        <f>SUBTOTAL(109,Table25[Milk])</f>
        <v>16.5</v>
      </c>
      <c r="I14">
        <f>SUBTOTAL(109,Table25[Butter])</f>
        <v>18.25</v>
      </c>
      <c r="J14">
        <f>SUBTOTAL(109,Table25[Vanilla])</f>
        <v>23</v>
      </c>
      <c r="K14">
        <f>SUBTOTAL(109,Table25[Eggs])</f>
        <v>33</v>
      </c>
      <c r="L14">
        <f>SUBTOTAL(109,Table25[Bananas])</f>
        <v>5.5</v>
      </c>
    </row>
    <row r="16" spans="1:12" ht="15.75" thickBot="1" x14ac:dyDescent="0.3"/>
    <row r="17" spans="4:6" ht="15.75" thickBot="1" x14ac:dyDescent="0.3">
      <c r="D17" s="3" t="s">
        <v>20</v>
      </c>
      <c r="E17" s="10"/>
      <c r="F17" s="4"/>
    </row>
    <row r="18" spans="4:6" ht="15.75" thickBot="1" x14ac:dyDescent="0.3">
      <c r="D18" s="5" t="s">
        <v>21</v>
      </c>
      <c r="E18" s="10"/>
      <c r="F18" s="6"/>
    </row>
    <row r="19" spans="4:6" ht="15.75" thickBot="1" x14ac:dyDescent="0.3">
      <c r="D19" s="5"/>
      <c r="F19" s="6"/>
    </row>
    <row r="20" spans="4:6" x14ac:dyDescent="0.25">
      <c r="D20" s="7" t="s">
        <v>22</v>
      </c>
      <c r="E20" s="9"/>
      <c r="F20" s="8"/>
    </row>
    <row r="21" spans="4:6" x14ac:dyDescent="0.25">
      <c r="D21" t="s">
        <v>24</v>
      </c>
    </row>
    <row r="22" spans="4:6" x14ac:dyDescent="0.25">
      <c r="D22" t="s">
        <v>25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Original data</vt:lpstr>
      <vt:lpstr>Ingredient</vt:lpstr>
      <vt:lpstr>Name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Kesavar Kabilar</cp:lastModifiedBy>
  <dcterms:created xsi:type="dcterms:W3CDTF">2020-02-15T14:59:35Z</dcterms:created>
  <dcterms:modified xsi:type="dcterms:W3CDTF">2023-09-02T15:06:14Z</dcterms:modified>
</cp:coreProperties>
</file>