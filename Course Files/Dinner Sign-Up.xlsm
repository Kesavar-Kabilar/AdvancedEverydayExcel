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SC Kes\Excel\Course Files\"/>
    </mc:Choice>
  </mc:AlternateContent>
  <xr:revisionPtr revIDLastSave="0" documentId="13_ncr:1_{59AEA8EE-334C-4393-A8E4-EDB3385D028A}" xr6:coauthVersionLast="47" xr6:coauthVersionMax="47" xr10:uidLastSave="{00000000-0000-0000-0000-000000000000}"/>
  <bookViews>
    <workbookView xWindow="-120" yWindow="-120" windowWidth="20730" windowHeight="11160" xr2:uid="{0A4BB2F5-B9F5-43D5-8241-99D3F09C68B4}"/>
  </bookViews>
  <sheets>
    <sheet name="FINAL Selections" sheetId="2" r:id="rId1"/>
    <sheet name="Raw Data" sheetId="1" r:id="rId2"/>
    <sheet name="Original Data" sheetId="3" r:id="rId3"/>
  </sheets>
  <externalReferences>
    <externalReference r:id="rId4"/>
    <externalReference r:id="rId5"/>
  </externalReferences>
  <definedNames>
    <definedName name="appetizers">[1]Sheet1!$G$5:$G$9</definedName>
    <definedName name="beverages">[1]Sheet1!$G$10:$G$13</definedName>
    <definedName name="Data">OFFSET('Raw Data'!$A$6, 0, 0, COUNTA('Raw Data'!$A:$A)-2, 4)</definedName>
    <definedName name="desserts">[1]Sheet1!$G$20:$G$22</definedName>
    <definedName name="Guest">OFFSET('[2]Raw Data'!$D$6,0,0,COUNTA('[2]Raw Data'!$C:$C)-1,1)</definedName>
    <definedName name="Guest?">OFFSET('Raw Data'!$D$6, 0, 0, COUNTA('Raw Data'!$D:$D)-1, 1)</definedName>
    <definedName name="GuestFlipped">_xlfn.ANCHORARRAY('[2]Raw Data'!$I$6)</definedName>
    <definedName name="Item">OFFSET('Raw Data'!$C$6, 0, 0, COUNTA('Raw Data'!$C:$C)-1, 1)</definedName>
    <definedName name="ItemFlipped">_xlfn.ANCHORARRAY('[2]Raw Data'!$H$6)</definedName>
    <definedName name="main_courses">[1]Sheet1!$G$16:$G$19</definedName>
    <definedName name="Name">OFFSET('Raw Data'!$B$6, 0, 0, COUNTA('Raw Data'!$B:$B)-1, 1)</definedName>
    <definedName name="NameFlipped">_xlfn.ANCHORARRAY('[2]Raw Data'!$G$6)</definedName>
    <definedName name="SData">OFFSET('Raw Data'!$G$6, 0, 0, COUNTA('Raw Data'!$A:$A)-1, 4)</definedName>
    <definedName name="Timestamp">OFFSET('Raw Data'!$A$6, 0, 0, COUNTA('Raw Data'!$A:$A)-3,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 a="1"/>
  <c r="J6" i="1" s="1"/>
  <c r="I6" i="1" a="1"/>
  <c r="I6" i="1" s="1"/>
  <c r="H6" i="1" a="1"/>
  <c r="H6" i="1" s="1"/>
  <c r="G6" i="1" a="1"/>
  <c r="G6" i="1" s="1"/>
  <c r="C2" i="2" l="1" a="1"/>
  <c r="C2" i="2" s="1"/>
  <c r="B2" i="2" a="1"/>
  <c r="B2" i="2" s="1"/>
  <c r="A2" i="2" a="1"/>
  <c r="A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<sst xmlns="http://schemas.openxmlformats.org/spreadsheetml/2006/main" count="301" uniqueCount="76">
  <si>
    <t>Timestamp</t>
  </si>
  <si>
    <t>2020/08/17 4:26:49 PM CDT</t>
  </si>
  <si>
    <t>2020/08/17 5:04:06 PM CDT</t>
  </si>
  <si>
    <t>2020/08/17 5:17:45 PM CDT</t>
  </si>
  <si>
    <t>2020/08/17 5:18:21 PM CDT</t>
  </si>
  <si>
    <t>2020/08/17 5:24:12 PM CDT</t>
  </si>
  <si>
    <t>2020/08/17 5:39:30 PM CDT</t>
  </si>
  <si>
    <t>2020/08/17 6:02:50 PM CDT</t>
  </si>
  <si>
    <t>2020/08/17 6:25:20 PM CDT</t>
  </si>
  <si>
    <t>2020/08/17 6:25:48 PM CDT</t>
  </si>
  <si>
    <t>2020/08/17 7:09:24 PM CDT</t>
  </si>
  <si>
    <t>2020/08/17 7:09:39 PM CDT</t>
  </si>
  <si>
    <t>2020/08/17 7:14:57 PM CDT</t>
  </si>
  <si>
    <t>2020/08/17 7:50:46 PM CDT</t>
  </si>
  <si>
    <t>2020/08/17 7:54:38 PM CDT</t>
  </si>
  <si>
    <t>2020/08/17 10:07:29 PM CDT</t>
  </si>
  <si>
    <t>2020/08/18 6:32:54 AM CDT</t>
  </si>
  <si>
    <t>2020/08/18 7:18:33 AM CDT</t>
  </si>
  <si>
    <t>2020/08/18 7:35:42 AM CDT</t>
  </si>
  <si>
    <t>2020/08/18 8:15:09 AM CDT</t>
  </si>
  <si>
    <t>2020/08/18 8:28:27 AM CDT</t>
  </si>
  <si>
    <t>2020/08/18 9:09:20 AM CDT</t>
  </si>
  <si>
    <t>2020/08/18 9:22:18 AM CDT</t>
  </si>
  <si>
    <t>2020/08/18 10:11:35 AM CDT</t>
  </si>
  <si>
    <t>2020/08/18 10:24:32 AM CDT</t>
  </si>
  <si>
    <t>2020/08/18 10:39:07 AM CDT</t>
  </si>
  <si>
    <t>2020/08/18 10:54:47 AM CDT</t>
  </si>
  <si>
    <t>Name</t>
  </si>
  <si>
    <t>Item</t>
  </si>
  <si>
    <t>Mickey Mouse</t>
  </si>
  <si>
    <t>Cheese</t>
  </si>
  <si>
    <t>Elmer Fudd</t>
  </si>
  <si>
    <t>Chicken tetrazzini</t>
  </si>
  <si>
    <t>Donald Duck</t>
  </si>
  <si>
    <t>Wine</t>
  </si>
  <si>
    <t>Yosemite Sam</t>
  </si>
  <si>
    <t>Beer</t>
  </si>
  <si>
    <t>Road Runner</t>
  </si>
  <si>
    <t>Celery</t>
  </si>
  <si>
    <t>Lola Bunny</t>
  </si>
  <si>
    <t>Steak</t>
  </si>
  <si>
    <t>Chips</t>
  </si>
  <si>
    <t>Wile E. Coyote</t>
  </si>
  <si>
    <t>Nachos</t>
  </si>
  <si>
    <t>Bugs Bunny</t>
  </si>
  <si>
    <t>Brownies</t>
  </si>
  <si>
    <t>Daffy Duck</t>
  </si>
  <si>
    <t>Cola</t>
  </si>
  <si>
    <t>Ice Cream</t>
  </si>
  <si>
    <t>Milk</t>
  </si>
  <si>
    <t>Gabby Goat</t>
  </si>
  <si>
    <t>Porky Pig</t>
  </si>
  <si>
    <t>Cake</t>
  </si>
  <si>
    <t>Minnie Mouse</t>
  </si>
  <si>
    <t>Guest?</t>
  </si>
  <si>
    <t>2020/08/18 11:08:23 AM CDT</t>
  </si>
  <si>
    <t>2020/08/18 11:16:43 AM CDT</t>
  </si>
  <si>
    <t>2020/08/18 11:18:09 AM CDT</t>
  </si>
  <si>
    <t>2020/08/18 11:19:29 AM CDT</t>
  </si>
  <si>
    <t>2020/08/18 11:32:51 AM CDT</t>
  </si>
  <si>
    <t>2020/08/18 11:46:22 AM CDT</t>
  </si>
  <si>
    <t>2020/08/18 11:48:04 AM CDT</t>
  </si>
  <si>
    <t>2020/08/18 11:52:34 AM CDT</t>
  </si>
  <si>
    <t>2020/08/18 11:59:59 AM CDT</t>
  </si>
  <si>
    <t>Yes</t>
  </si>
  <si>
    <t>No</t>
  </si>
  <si>
    <t>*Your final solution/results should appear in columns A, B, and C</t>
  </si>
  <si>
    <t>*Your solution must auto-update!  In other words, if the raw data</t>
  </si>
  <si>
    <t>RAW DATA - The data here is the raw data from the Google Form export</t>
  </si>
  <si>
    <t>Do NOT modify or change the location of any of the data in columns A --&gt; E</t>
  </si>
  <si>
    <t>--&gt; Your work should be done starting in Column F</t>
  </si>
  <si>
    <t xml:space="preserve">on the "Raw Data" worksheet is modified (or the results of a new </t>
  </si>
  <si>
    <t xml:space="preserve">survey in the future are re-downloaded), then everything needs to </t>
  </si>
  <si>
    <t>*The GRADE button will test the ability of your formulas to update in a LIVE manner!</t>
  </si>
  <si>
    <t>update here in a LIVE fashion! Including data sets of different size.</t>
  </si>
  <si>
    <t>*The Name column must be in alphabetical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</si>
</sst>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12</xdr:row>
          <xdr:rowOff>9525</xdr:rowOff>
        </xdr:from>
        <xdr:to>
          <xdr:col>7</xdr:col>
          <xdr:colOff>219075</xdr:colOff>
          <xdr:row>15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lie/Documents/MOOC%20Excel/Part%201/Miscellaneous/Looney%20Tunes%20dinn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lie/Documents/MOOC%20Excel/Projects/Dinner%20Sign-Up/Dinner%20Sign-Up%20-%20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5">
          <cell r="G5" t="str">
            <v>Carrots</v>
          </cell>
        </row>
        <row r="6">
          <cell r="G6" t="str">
            <v>Celery</v>
          </cell>
        </row>
        <row r="7">
          <cell r="G7" t="str">
            <v>Chips</v>
          </cell>
        </row>
        <row r="8">
          <cell r="G8" t="str">
            <v>Nachos</v>
          </cell>
        </row>
        <row r="9">
          <cell r="G9" t="str">
            <v>Cheese</v>
          </cell>
        </row>
        <row r="10">
          <cell r="G10" t="str">
            <v>Wine</v>
          </cell>
        </row>
        <row r="11">
          <cell r="G11" t="str">
            <v>Beer</v>
          </cell>
        </row>
        <row r="12">
          <cell r="G12" t="str">
            <v>Cola</v>
          </cell>
        </row>
        <row r="13">
          <cell r="G13" t="str">
            <v>Milk</v>
          </cell>
        </row>
        <row r="16">
          <cell r="G16" t="str">
            <v>Steak</v>
          </cell>
        </row>
        <row r="17">
          <cell r="G17" t="str">
            <v>Casserole</v>
          </cell>
        </row>
        <row r="18">
          <cell r="G18" t="str">
            <v>Chicken tetrazzini</v>
          </cell>
        </row>
        <row r="19">
          <cell r="G19" t="str">
            <v>Dumplings</v>
          </cell>
        </row>
        <row r="20">
          <cell r="G20" t="str">
            <v>Brownies</v>
          </cell>
        </row>
        <row r="21">
          <cell r="G21" t="str">
            <v>Cake</v>
          </cell>
        </row>
        <row r="22">
          <cell r="G22" t="str">
            <v>Ice Cream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AL Selections"/>
      <sheetName val="Raw Data"/>
      <sheetName val="Original Data"/>
    </sheetNames>
    <sheetDataSet>
      <sheetData sheetId="0" refreshError="1"/>
      <sheetData sheetId="1" refreshError="1">
        <row r="5">
          <cell r="B5" t="str">
            <v>Name</v>
          </cell>
          <cell r="C5" t="str">
            <v>Item</v>
          </cell>
        </row>
        <row r="6">
          <cell r="C6" t="str">
            <v>Nachos</v>
          </cell>
          <cell r="D6" t="str">
            <v>Yes</v>
          </cell>
          <cell r="G6" t="str">
            <v>Gabby Goat</v>
          </cell>
          <cell r="H6" t="str">
            <v>Milk</v>
          </cell>
          <cell r="I6" t="str">
            <v>Yes</v>
          </cell>
        </row>
        <row r="7">
          <cell r="C7" t="str">
            <v>Steak</v>
          </cell>
        </row>
        <row r="8">
          <cell r="C8" t="str">
            <v>Celery</v>
          </cell>
        </row>
        <row r="9">
          <cell r="C9" t="str">
            <v>Chips</v>
          </cell>
        </row>
        <row r="10">
          <cell r="C10" t="str">
            <v>Chips</v>
          </cell>
        </row>
        <row r="11">
          <cell r="C11" t="str">
            <v>Chicken tetrazzini</v>
          </cell>
        </row>
        <row r="12">
          <cell r="C12" t="str">
            <v>Steak</v>
          </cell>
        </row>
        <row r="13">
          <cell r="C13" t="str">
            <v>Steak</v>
          </cell>
        </row>
        <row r="14">
          <cell r="C14" t="str">
            <v>Milk</v>
          </cell>
        </row>
        <row r="15">
          <cell r="C15" t="str">
            <v>Celery</v>
          </cell>
        </row>
        <row r="16">
          <cell r="C16" t="str">
            <v>Celery</v>
          </cell>
        </row>
        <row r="17">
          <cell r="C17" t="str">
            <v>Beer</v>
          </cell>
        </row>
        <row r="18">
          <cell r="C18" t="str">
            <v>Nachos</v>
          </cell>
        </row>
        <row r="19">
          <cell r="C19" t="str">
            <v>Ice Cream</v>
          </cell>
        </row>
        <row r="20">
          <cell r="C20" t="str">
            <v>Ice Cream</v>
          </cell>
        </row>
        <row r="21">
          <cell r="C21" t="str">
            <v>Cake</v>
          </cell>
        </row>
        <row r="22">
          <cell r="C22" t="str">
            <v>Steak</v>
          </cell>
        </row>
        <row r="23">
          <cell r="C23" t="str">
            <v>Milk</v>
          </cell>
        </row>
        <row r="24">
          <cell r="C24" t="str">
            <v>Cheese</v>
          </cell>
        </row>
        <row r="25">
          <cell r="C25" t="str">
            <v>Ice Cream</v>
          </cell>
        </row>
        <row r="26">
          <cell r="C26" t="str">
            <v>Celery</v>
          </cell>
        </row>
        <row r="27">
          <cell r="C27" t="str">
            <v>Celery</v>
          </cell>
        </row>
        <row r="28">
          <cell r="C28" t="str">
            <v>Wine</v>
          </cell>
        </row>
        <row r="29">
          <cell r="C29" t="str">
            <v>Wine</v>
          </cell>
        </row>
        <row r="30">
          <cell r="C30" t="str">
            <v>Beer</v>
          </cell>
        </row>
        <row r="31">
          <cell r="C31" t="str">
            <v>Brownies</v>
          </cell>
        </row>
        <row r="32">
          <cell r="C32" t="str">
            <v>Nachos</v>
          </cell>
        </row>
        <row r="33">
          <cell r="C33" t="str">
            <v>Cheese</v>
          </cell>
        </row>
        <row r="34">
          <cell r="C34" t="str">
            <v>Cheese</v>
          </cell>
        </row>
        <row r="35">
          <cell r="C35" t="str">
            <v>Beer</v>
          </cell>
        </row>
        <row r="36">
          <cell r="C36" t="str">
            <v>Cheese</v>
          </cell>
        </row>
        <row r="37">
          <cell r="C37" t="str">
            <v>Cola</v>
          </cell>
        </row>
        <row r="38">
          <cell r="C38" t="str">
            <v>Celery</v>
          </cell>
        </row>
        <row r="39">
          <cell r="C39" t="str">
            <v>Steak</v>
          </cell>
        </row>
        <row r="40">
          <cell r="C40" t="str">
            <v>Milk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22130-ADA0-4407-8DC0-3190E8722CD2}">
  <sheetPr codeName="Sheet1"/>
  <dimension ref="A1:E13"/>
  <sheetViews>
    <sheetView tabSelected="1" workbookViewId="0">
      <selection activeCell="C3" sqref="C3"/>
    </sheetView>
  </sheetViews>
  <sheetFormatPr defaultRowHeight="15" x14ac:dyDescent="0.25"/>
  <cols>
    <col min="1" max="1" width="12.140625" bestFit="1" customWidth="1"/>
    <col min="2" max="2" width="10" customWidth="1"/>
  </cols>
  <sheetData>
    <row r="1" spans="1:5" x14ac:dyDescent="0.25">
      <c r="A1" s="1" t="s">
        <v>27</v>
      </c>
      <c r="B1" s="1" t="s">
        <v>28</v>
      </c>
      <c r="C1" s="1" t="s">
        <v>54</v>
      </c>
    </row>
    <row r="2" spans="1:5" x14ac:dyDescent="0.25">
      <c r="A2" t="str" cm="1">
        <f t="array" aca="1" ref="A2:A13" ca="1">INDEX(_xlfn._xlws.SORT(SData, 1, -1), MATCH(_xlfn._xlws.SORT(_xlfn.UNIQUE(Name)), (INDEX(_xlfn._xlws.SORT(SData, 1, -1), ROW(Timestamp)-ROW(A5), 2)), 0), 2)</f>
        <v>Bugs Bunny</v>
      </c>
      <c r="B2" t="str" cm="1">
        <f t="array" aca="1" ref="B2:B13" ca="1">INDEX(_xlfn._xlws.SORT(SData, 1, -1), MATCH(_xlfn._xlws.SORT(_xlfn.UNIQUE(Name)), (INDEX(_xlfn._xlws.SORT(SData, 1, -1), ROW(Timestamp)-ROW(A5), 2)), 0), 3)</f>
        <v>Brownies</v>
      </c>
      <c r="C2" t="str" cm="1">
        <f t="array" aca="1" ref="C2:C13" ca="1">INDEX(_xlfn._xlws.SORT(SData, 1, -1), MATCH(_xlfn._xlws.SORT(_xlfn.UNIQUE(Name)), (INDEX(_xlfn._xlws.SORT(SData, 1, -1), ROW(Timestamp)-ROW(A5), 2)), 0), 4)</f>
        <v>Yes</v>
      </c>
      <c r="E2" t="s">
        <v>66</v>
      </c>
    </row>
    <row r="3" spans="1:5" x14ac:dyDescent="0.25">
      <c r="A3" t="str">
        <f ca="1"/>
        <v>Daffy Duck</v>
      </c>
      <c r="B3" t="str">
        <f ca="1"/>
        <v>Chips</v>
      </c>
      <c r="C3" t="str">
        <f ca="1"/>
        <v>Yes</v>
      </c>
    </row>
    <row r="4" spans="1:5" x14ac:dyDescent="0.25">
      <c r="A4" t="str">
        <f ca="1"/>
        <v>Donald Duck</v>
      </c>
      <c r="B4" t="str">
        <f ca="1"/>
        <v>Wine</v>
      </c>
      <c r="C4" t="str">
        <f ca="1"/>
        <v>Yes</v>
      </c>
      <c r="E4" t="s">
        <v>75</v>
      </c>
    </row>
    <row r="5" spans="1:5" x14ac:dyDescent="0.25">
      <c r="A5" t="str">
        <f ca="1"/>
        <v>Elmer Fudd</v>
      </c>
      <c r="B5" t="str">
        <f ca="1"/>
        <v>Ice Cream</v>
      </c>
      <c r="C5" t="str">
        <f ca="1"/>
        <v>Yes</v>
      </c>
    </row>
    <row r="6" spans="1:5" x14ac:dyDescent="0.25">
      <c r="A6" t="str">
        <f ca="1"/>
        <v>Gabby Goat</v>
      </c>
      <c r="B6" t="str">
        <f ca="1"/>
        <v>Milk</v>
      </c>
      <c r="C6" t="str">
        <f ca="1"/>
        <v>Yes</v>
      </c>
      <c r="E6" t="s">
        <v>67</v>
      </c>
    </row>
    <row r="7" spans="1:5" x14ac:dyDescent="0.25">
      <c r="A7" t="str">
        <f ca="1"/>
        <v>Lola Bunny</v>
      </c>
      <c r="B7" t="str">
        <f ca="1"/>
        <v>Steak</v>
      </c>
      <c r="C7" t="str">
        <f ca="1"/>
        <v>Yes</v>
      </c>
      <c r="E7" t="s">
        <v>71</v>
      </c>
    </row>
    <row r="8" spans="1:5" x14ac:dyDescent="0.25">
      <c r="A8" t="str">
        <f ca="1"/>
        <v>Mickey Mouse</v>
      </c>
      <c r="B8" t="str">
        <f ca="1"/>
        <v>Cheese</v>
      </c>
      <c r="C8" t="str">
        <f ca="1"/>
        <v>No</v>
      </c>
      <c r="E8" t="s">
        <v>72</v>
      </c>
    </row>
    <row r="9" spans="1:5" x14ac:dyDescent="0.25">
      <c r="A9" t="str">
        <f ca="1"/>
        <v>Minnie Mouse</v>
      </c>
      <c r="B9" t="str">
        <f ca="1"/>
        <v>Cola</v>
      </c>
      <c r="C9" t="str">
        <f ca="1"/>
        <v>No</v>
      </c>
      <c r="E9" t="s">
        <v>74</v>
      </c>
    </row>
    <row r="10" spans="1:5" x14ac:dyDescent="0.25">
      <c r="A10" t="str">
        <f ca="1"/>
        <v>Porky Pig</v>
      </c>
      <c r="B10" t="str">
        <f ca="1"/>
        <v>Nachos</v>
      </c>
      <c r="C10" t="str">
        <f ca="1"/>
        <v>Yes</v>
      </c>
    </row>
    <row r="11" spans="1:5" x14ac:dyDescent="0.25">
      <c r="A11" t="str">
        <f ca="1"/>
        <v>Road Runner</v>
      </c>
      <c r="B11" t="str">
        <f ca="1"/>
        <v>Celery</v>
      </c>
      <c r="C11" t="str">
        <f ca="1"/>
        <v>Yes</v>
      </c>
      <c r="E11" t="s">
        <v>73</v>
      </c>
    </row>
    <row r="12" spans="1:5" x14ac:dyDescent="0.25">
      <c r="A12" t="str">
        <f ca="1"/>
        <v>Wile E. Coyote</v>
      </c>
      <c r="B12" t="str">
        <f ca="1"/>
        <v>Cheese</v>
      </c>
      <c r="C12" t="str">
        <f ca="1"/>
        <v>Yes</v>
      </c>
    </row>
    <row r="13" spans="1:5" x14ac:dyDescent="0.25">
      <c r="A13" t="str">
        <f ca="1"/>
        <v>Yosemite Sam</v>
      </c>
      <c r="B13" t="str">
        <f ca="1"/>
        <v>Beer</v>
      </c>
      <c r="C13" t="str">
        <f ca="1"/>
        <v>No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5</xdr:col>
                    <xdr:colOff>409575</xdr:colOff>
                    <xdr:row>12</xdr:row>
                    <xdr:rowOff>9525</xdr:rowOff>
                  </from>
                  <to>
                    <xdr:col>7</xdr:col>
                    <xdr:colOff>219075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A8DB-B9CF-45B0-B49F-4903E3273776}">
  <sheetPr codeName="Sheet2"/>
  <dimension ref="A1:Q40"/>
  <sheetViews>
    <sheetView workbookViewId="0">
      <selection activeCell="G41" sqref="G41"/>
    </sheetView>
  </sheetViews>
  <sheetFormatPr defaultRowHeight="15" x14ac:dyDescent="0.25"/>
  <cols>
    <col min="1" max="1" width="24.85546875" bestFit="1" customWidth="1"/>
    <col min="2" max="2" width="15" customWidth="1"/>
    <col min="3" max="3" width="17.140625" customWidth="1"/>
    <col min="5" max="5" width="9" style="2"/>
    <col min="6" max="6" width="11.42578125" bestFit="1" customWidth="1"/>
    <col min="7" max="7" width="20.5703125" customWidth="1"/>
    <col min="8" max="8" width="18.5703125" customWidth="1"/>
    <col min="9" max="17" width="11.42578125" customWidth="1"/>
  </cols>
  <sheetData>
    <row r="1" spans="1:17" x14ac:dyDescent="0.25">
      <c r="A1" t="s">
        <v>68</v>
      </c>
    </row>
    <row r="2" spans="1:17" x14ac:dyDescent="0.25">
      <c r="F2" s="3" t="s">
        <v>70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 x14ac:dyDescent="0.25">
      <c r="A3" t="s">
        <v>69</v>
      </c>
    </row>
    <row r="4" spans="1:17" x14ac:dyDescent="0.25">
      <c r="G4" s="5"/>
      <c r="H4" s="5"/>
      <c r="I4" s="5"/>
      <c r="J4" s="4"/>
      <c r="K4" s="4"/>
      <c r="L4" s="4"/>
      <c r="M4" s="4"/>
      <c r="N4" s="4"/>
      <c r="O4" s="4"/>
      <c r="P4" s="4"/>
      <c r="Q4" s="4"/>
    </row>
    <row r="5" spans="1:17" x14ac:dyDescent="0.25">
      <c r="A5" s="1" t="s">
        <v>0</v>
      </c>
      <c r="B5" s="1" t="s">
        <v>27</v>
      </c>
      <c r="C5" s="1" t="s">
        <v>28</v>
      </c>
      <c r="D5" s="1" t="s">
        <v>54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5">
      <c r="A6" t="s">
        <v>1</v>
      </c>
      <c r="B6" t="s">
        <v>29</v>
      </c>
      <c r="C6" t="s">
        <v>43</v>
      </c>
      <c r="D6" t="s">
        <v>64</v>
      </c>
      <c r="G6" cm="1">
        <f t="array" aca="1" ref="G6:G40" ca="1">DATEVALUE(LEFT(Timestamp, 10))+TIMEVALUE(MID(Timestamp, 11, 12))</f>
        <v>44060.685289351852</v>
      </c>
      <c r="H6" t="str" cm="1">
        <f t="array" aca="1" ref="H6:H40" ca="1">Name</f>
        <v>Mickey Mouse</v>
      </c>
      <c r="I6" t="str" cm="1">
        <f t="array" aca="1" ref="I6:I40" ca="1">Item</f>
        <v>Nachos</v>
      </c>
      <c r="J6" t="str" cm="1">
        <f t="array" aca="1" ref="J6:J40" ca="1">Guest?</f>
        <v>Yes</v>
      </c>
    </row>
    <row r="7" spans="1:17" x14ac:dyDescent="0.25">
      <c r="A7" t="s">
        <v>2</v>
      </c>
      <c r="B7" t="s">
        <v>31</v>
      </c>
      <c r="C7" t="s">
        <v>40</v>
      </c>
      <c r="D7" t="s">
        <v>65</v>
      </c>
      <c r="G7">
        <f ca="1"/>
        <v>44060.711180555554</v>
      </c>
      <c r="H7" t="str">
        <f ca="1"/>
        <v>Elmer Fudd</v>
      </c>
      <c r="I7" t="str">
        <f ca="1"/>
        <v>Steak</v>
      </c>
      <c r="J7" t="str">
        <f ca="1"/>
        <v>No</v>
      </c>
    </row>
    <row r="8" spans="1:17" x14ac:dyDescent="0.25">
      <c r="A8" t="s">
        <v>3</v>
      </c>
      <c r="B8" t="s">
        <v>33</v>
      </c>
      <c r="C8" t="s">
        <v>38</v>
      </c>
      <c r="D8" t="s">
        <v>64</v>
      </c>
      <c r="G8">
        <f ca="1"/>
        <v>44060.720659722225</v>
      </c>
      <c r="H8" t="str">
        <f ca="1"/>
        <v>Donald Duck</v>
      </c>
      <c r="I8" t="str">
        <f ca="1"/>
        <v>Celery</v>
      </c>
      <c r="J8" t="str">
        <f ca="1"/>
        <v>Yes</v>
      </c>
    </row>
    <row r="9" spans="1:17" x14ac:dyDescent="0.25">
      <c r="A9" t="s">
        <v>4</v>
      </c>
      <c r="B9" t="s">
        <v>46</v>
      </c>
      <c r="C9" t="s">
        <v>41</v>
      </c>
      <c r="D9" t="s">
        <v>65</v>
      </c>
      <c r="G9">
        <f ca="1"/>
        <v>44060.721076388887</v>
      </c>
      <c r="H9" t="str">
        <f ca="1"/>
        <v>Daffy Duck</v>
      </c>
      <c r="I9" t="str">
        <f ca="1"/>
        <v>Chips</v>
      </c>
      <c r="J9" t="str">
        <f ca="1"/>
        <v>No</v>
      </c>
    </row>
    <row r="10" spans="1:17" x14ac:dyDescent="0.25">
      <c r="A10" t="s">
        <v>5</v>
      </c>
      <c r="B10" t="s">
        <v>46</v>
      </c>
      <c r="C10" t="s">
        <v>41</v>
      </c>
      <c r="D10" t="s">
        <v>64</v>
      </c>
      <c r="G10">
        <f ca="1"/>
        <v>44060.725138888891</v>
      </c>
      <c r="H10" t="str">
        <f ca="1"/>
        <v>Daffy Duck</v>
      </c>
      <c r="I10" t="str">
        <f ca="1"/>
        <v>Chips</v>
      </c>
      <c r="J10" t="str">
        <f ca="1"/>
        <v>Yes</v>
      </c>
    </row>
    <row r="11" spans="1:17" x14ac:dyDescent="0.25">
      <c r="A11" t="s">
        <v>6</v>
      </c>
      <c r="B11" t="s">
        <v>39</v>
      </c>
      <c r="C11" t="s">
        <v>32</v>
      </c>
      <c r="D11" t="s">
        <v>64</v>
      </c>
      <c r="G11">
        <f ca="1"/>
        <v>44060.735763888886</v>
      </c>
      <c r="H11" t="str">
        <f ca="1"/>
        <v>Lola Bunny</v>
      </c>
      <c r="I11" t="str">
        <f ca="1"/>
        <v>Chicken tetrazzini</v>
      </c>
      <c r="J11" t="str">
        <f ca="1"/>
        <v>Yes</v>
      </c>
    </row>
    <row r="12" spans="1:17" x14ac:dyDescent="0.25">
      <c r="A12" t="s">
        <v>7</v>
      </c>
      <c r="B12" t="s">
        <v>39</v>
      </c>
      <c r="C12" t="s">
        <v>40</v>
      </c>
      <c r="D12" t="s">
        <v>64</v>
      </c>
      <c r="G12">
        <f ca="1"/>
        <v>44060.751967592594</v>
      </c>
      <c r="H12" t="str">
        <f ca="1"/>
        <v>Lola Bunny</v>
      </c>
      <c r="I12" t="str">
        <f ca="1"/>
        <v>Steak</v>
      </c>
      <c r="J12" t="str">
        <f ca="1"/>
        <v>Yes</v>
      </c>
    </row>
    <row r="13" spans="1:17" x14ac:dyDescent="0.25">
      <c r="A13" t="s">
        <v>8</v>
      </c>
      <c r="B13" t="s">
        <v>31</v>
      </c>
      <c r="C13" t="s">
        <v>40</v>
      </c>
      <c r="D13" t="s">
        <v>64</v>
      </c>
      <c r="G13">
        <f ca="1"/>
        <v>44060.767592592594</v>
      </c>
      <c r="H13" t="str">
        <f ca="1"/>
        <v>Elmer Fudd</v>
      </c>
      <c r="I13" t="str">
        <f ca="1"/>
        <v>Steak</v>
      </c>
      <c r="J13" t="str">
        <f ca="1"/>
        <v>Yes</v>
      </c>
    </row>
    <row r="14" spans="1:17" x14ac:dyDescent="0.25">
      <c r="A14" t="s">
        <v>9</v>
      </c>
      <c r="B14" t="s">
        <v>53</v>
      </c>
      <c r="C14" t="s">
        <v>49</v>
      </c>
      <c r="D14" t="s">
        <v>65</v>
      </c>
      <c r="G14">
        <f ca="1"/>
        <v>44060.767916666664</v>
      </c>
      <c r="H14" t="str">
        <f ca="1"/>
        <v>Minnie Mouse</v>
      </c>
      <c r="I14" t="str">
        <f ca="1"/>
        <v>Milk</v>
      </c>
      <c r="J14" t="str">
        <f ca="1"/>
        <v>No</v>
      </c>
    </row>
    <row r="15" spans="1:17" x14ac:dyDescent="0.25">
      <c r="A15" t="s">
        <v>10</v>
      </c>
      <c r="B15" t="s">
        <v>33</v>
      </c>
      <c r="C15" t="s">
        <v>38</v>
      </c>
      <c r="D15" t="s">
        <v>65</v>
      </c>
      <c r="G15">
        <f ca="1"/>
        <v>44060.798194444447</v>
      </c>
      <c r="H15" t="str">
        <f ca="1"/>
        <v>Donald Duck</v>
      </c>
      <c r="I15" t="str">
        <f ca="1"/>
        <v>Celery</v>
      </c>
      <c r="J15" t="str">
        <f ca="1"/>
        <v>No</v>
      </c>
    </row>
    <row r="16" spans="1:17" x14ac:dyDescent="0.25">
      <c r="A16" t="s">
        <v>11</v>
      </c>
      <c r="B16" t="s">
        <v>37</v>
      </c>
      <c r="C16" t="s">
        <v>38</v>
      </c>
      <c r="D16" t="s">
        <v>65</v>
      </c>
      <c r="G16">
        <f ca="1"/>
        <v>44060.798368055555</v>
      </c>
      <c r="H16" t="str">
        <f ca="1"/>
        <v>Road Runner</v>
      </c>
      <c r="I16" t="str">
        <f ca="1"/>
        <v>Celery</v>
      </c>
      <c r="J16" t="str">
        <f ca="1"/>
        <v>No</v>
      </c>
    </row>
    <row r="17" spans="1:10" x14ac:dyDescent="0.25">
      <c r="A17" t="s">
        <v>12</v>
      </c>
      <c r="B17" t="s">
        <v>35</v>
      </c>
      <c r="C17" t="s">
        <v>36</v>
      </c>
      <c r="D17" t="s">
        <v>65</v>
      </c>
      <c r="G17">
        <f ca="1"/>
        <v>44060.802048611113</v>
      </c>
      <c r="H17" t="str">
        <f ca="1"/>
        <v>Yosemite Sam</v>
      </c>
      <c r="I17" t="str">
        <f ca="1"/>
        <v>Beer</v>
      </c>
      <c r="J17" t="str">
        <f ca="1"/>
        <v>No</v>
      </c>
    </row>
    <row r="18" spans="1:10" x14ac:dyDescent="0.25">
      <c r="A18" t="s">
        <v>13</v>
      </c>
      <c r="B18" t="s">
        <v>51</v>
      </c>
      <c r="C18" t="s">
        <v>43</v>
      </c>
      <c r="D18" t="s">
        <v>65</v>
      </c>
      <c r="G18">
        <f ca="1"/>
        <v>44060.826921296299</v>
      </c>
      <c r="H18" t="str">
        <f ca="1"/>
        <v>Porky Pig</v>
      </c>
      <c r="I18" t="str">
        <f ca="1"/>
        <v>Nachos</v>
      </c>
      <c r="J18" t="str">
        <f ca="1"/>
        <v>No</v>
      </c>
    </row>
    <row r="19" spans="1:10" x14ac:dyDescent="0.25">
      <c r="A19" t="s">
        <v>14</v>
      </c>
      <c r="B19" t="s">
        <v>31</v>
      </c>
      <c r="C19" t="s">
        <v>48</v>
      </c>
      <c r="D19" t="s">
        <v>64</v>
      </c>
      <c r="G19">
        <f ca="1"/>
        <v>44060.829606481479</v>
      </c>
      <c r="H19" t="str">
        <f ca="1"/>
        <v>Elmer Fudd</v>
      </c>
      <c r="I19" t="str">
        <f ca="1"/>
        <v>Ice Cream</v>
      </c>
      <c r="J19" t="str">
        <f ca="1"/>
        <v>Yes</v>
      </c>
    </row>
    <row r="20" spans="1:10" x14ac:dyDescent="0.25">
      <c r="A20" t="s">
        <v>15</v>
      </c>
      <c r="B20" t="s">
        <v>31</v>
      </c>
      <c r="C20" t="s">
        <v>48</v>
      </c>
      <c r="D20" t="s">
        <v>64</v>
      </c>
      <c r="G20">
        <f ca="1"/>
        <v>44060.921863425923</v>
      </c>
      <c r="H20" t="str">
        <f ca="1"/>
        <v>Elmer Fudd</v>
      </c>
      <c r="I20" t="str">
        <f ca="1"/>
        <v>Ice Cream</v>
      </c>
      <c r="J20" t="str">
        <f ca="1"/>
        <v>Yes</v>
      </c>
    </row>
    <row r="21" spans="1:10" x14ac:dyDescent="0.25">
      <c r="A21" t="s">
        <v>16</v>
      </c>
      <c r="B21" t="s">
        <v>44</v>
      </c>
      <c r="C21" t="s">
        <v>52</v>
      </c>
      <c r="D21" t="s">
        <v>64</v>
      </c>
      <c r="G21">
        <f ca="1"/>
        <v>44061.272847222222</v>
      </c>
      <c r="H21" t="str">
        <f ca="1"/>
        <v>Bugs Bunny</v>
      </c>
      <c r="I21" t="str">
        <f ca="1"/>
        <v>Cake</v>
      </c>
      <c r="J21" t="str">
        <f ca="1"/>
        <v>Yes</v>
      </c>
    </row>
    <row r="22" spans="1:10" x14ac:dyDescent="0.25">
      <c r="A22" t="s">
        <v>17</v>
      </c>
      <c r="B22" t="s">
        <v>50</v>
      </c>
      <c r="C22" t="s">
        <v>40</v>
      </c>
      <c r="D22" t="s">
        <v>64</v>
      </c>
      <c r="G22">
        <f ca="1"/>
        <v>44061.304548611108</v>
      </c>
      <c r="H22" t="str">
        <f ca="1"/>
        <v>Gabby Goat</v>
      </c>
      <c r="I22" t="str">
        <f ca="1"/>
        <v>Steak</v>
      </c>
      <c r="J22" t="str">
        <f ca="1"/>
        <v>Yes</v>
      </c>
    </row>
    <row r="23" spans="1:10" x14ac:dyDescent="0.25">
      <c r="A23" t="s">
        <v>18</v>
      </c>
      <c r="B23" t="s">
        <v>42</v>
      </c>
      <c r="C23" t="s">
        <v>49</v>
      </c>
      <c r="D23" t="s">
        <v>65</v>
      </c>
      <c r="G23">
        <f ca="1"/>
        <v>44061.316458333335</v>
      </c>
      <c r="H23" t="str">
        <f ca="1"/>
        <v>Wile E. Coyote</v>
      </c>
      <c r="I23" t="str">
        <f ca="1"/>
        <v>Milk</v>
      </c>
      <c r="J23" t="str">
        <f ca="1"/>
        <v>No</v>
      </c>
    </row>
    <row r="24" spans="1:10" x14ac:dyDescent="0.25">
      <c r="A24" t="s">
        <v>19</v>
      </c>
      <c r="B24" t="s">
        <v>42</v>
      </c>
      <c r="C24" t="s">
        <v>30</v>
      </c>
      <c r="D24" t="s">
        <v>65</v>
      </c>
      <c r="G24">
        <f ca="1"/>
        <v>44061.343854166669</v>
      </c>
      <c r="H24" t="str">
        <f ca="1"/>
        <v>Wile E. Coyote</v>
      </c>
      <c r="I24" t="str">
        <f ca="1"/>
        <v>Cheese</v>
      </c>
      <c r="J24" t="str">
        <f ca="1"/>
        <v>No</v>
      </c>
    </row>
    <row r="25" spans="1:10" x14ac:dyDescent="0.25">
      <c r="A25" t="s">
        <v>20</v>
      </c>
      <c r="B25" t="s">
        <v>44</v>
      </c>
      <c r="C25" t="s">
        <v>48</v>
      </c>
      <c r="D25" t="s">
        <v>64</v>
      </c>
      <c r="G25">
        <f ca="1"/>
        <v>44061.353090277778</v>
      </c>
      <c r="H25" t="str">
        <f ca="1"/>
        <v>Bugs Bunny</v>
      </c>
      <c r="I25" t="str">
        <f ca="1"/>
        <v>Ice Cream</v>
      </c>
      <c r="J25" t="str">
        <f ca="1"/>
        <v>Yes</v>
      </c>
    </row>
    <row r="26" spans="1:10" x14ac:dyDescent="0.25">
      <c r="A26" t="s">
        <v>21</v>
      </c>
      <c r="B26" t="s">
        <v>37</v>
      </c>
      <c r="C26" t="s">
        <v>38</v>
      </c>
      <c r="D26" t="s">
        <v>64</v>
      </c>
      <c r="G26">
        <f ca="1"/>
        <v>44061.381481481483</v>
      </c>
      <c r="H26" t="str">
        <f ca="1"/>
        <v>Road Runner</v>
      </c>
      <c r="I26" t="str">
        <f ca="1"/>
        <v>Celery</v>
      </c>
      <c r="J26" t="str">
        <f ca="1"/>
        <v>Yes</v>
      </c>
    </row>
    <row r="27" spans="1:10" x14ac:dyDescent="0.25">
      <c r="A27" t="s">
        <v>22</v>
      </c>
      <c r="B27" t="s">
        <v>37</v>
      </c>
      <c r="C27" t="s">
        <v>38</v>
      </c>
      <c r="D27" t="s">
        <v>65</v>
      </c>
      <c r="G27">
        <f ca="1"/>
        <v>44061.390486111108</v>
      </c>
      <c r="H27" t="str">
        <f ca="1"/>
        <v>Road Runner</v>
      </c>
      <c r="I27" t="str">
        <f ca="1"/>
        <v>Celery</v>
      </c>
      <c r="J27" t="str">
        <f ca="1"/>
        <v>No</v>
      </c>
    </row>
    <row r="28" spans="1:10" x14ac:dyDescent="0.25">
      <c r="A28" t="s">
        <v>23</v>
      </c>
      <c r="B28" t="s">
        <v>33</v>
      </c>
      <c r="C28" t="s">
        <v>34</v>
      </c>
      <c r="D28" t="s">
        <v>64</v>
      </c>
      <c r="G28">
        <f ca="1"/>
        <v>44061.424710648149</v>
      </c>
      <c r="H28" t="str">
        <f ca="1"/>
        <v>Donald Duck</v>
      </c>
      <c r="I28" t="str">
        <f ca="1"/>
        <v>Wine</v>
      </c>
      <c r="J28" t="str">
        <f ca="1"/>
        <v>Yes</v>
      </c>
    </row>
    <row r="29" spans="1:10" x14ac:dyDescent="0.25">
      <c r="A29" t="s">
        <v>24</v>
      </c>
      <c r="B29" t="s">
        <v>33</v>
      </c>
      <c r="C29" t="s">
        <v>34</v>
      </c>
      <c r="D29" t="s">
        <v>64</v>
      </c>
      <c r="G29">
        <f ca="1"/>
        <v>44061.433703703704</v>
      </c>
      <c r="H29" t="str">
        <f ca="1"/>
        <v>Donald Duck</v>
      </c>
      <c r="I29" t="str">
        <f ca="1"/>
        <v>Wine</v>
      </c>
      <c r="J29" t="str">
        <f ca="1"/>
        <v>Yes</v>
      </c>
    </row>
    <row r="30" spans="1:10" x14ac:dyDescent="0.25">
      <c r="A30" t="s">
        <v>25</v>
      </c>
      <c r="B30" t="s">
        <v>35</v>
      </c>
      <c r="C30" t="s">
        <v>36</v>
      </c>
      <c r="D30" t="s">
        <v>64</v>
      </c>
      <c r="G30">
        <f ca="1"/>
        <v>44061.443831018521</v>
      </c>
      <c r="H30" t="str">
        <f ca="1"/>
        <v>Yosemite Sam</v>
      </c>
      <c r="I30" t="str">
        <f ca="1"/>
        <v>Beer</v>
      </c>
      <c r="J30" t="str">
        <f ca="1"/>
        <v>Yes</v>
      </c>
    </row>
    <row r="31" spans="1:10" x14ac:dyDescent="0.25">
      <c r="A31" t="s">
        <v>26</v>
      </c>
      <c r="B31" t="s">
        <v>44</v>
      </c>
      <c r="C31" t="s">
        <v>45</v>
      </c>
      <c r="D31" t="s">
        <v>64</v>
      </c>
      <c r="G31">
        <f ca="1"/>
        <v>44061.454710648148</v>
      </c>
      <c r="H31" t="str">
        <f ca="1"/>
        <v>Bugs Bunny</v>
      </c>
      <c r="I31" t="str">
        <f ca="1"/>
        <v>Brownies</v>
      </c>
      <c r="J31" t="str">
        <f ca="1"/>
        <v>Yes</v>
      </c>
    </row>
    <row r="32" spans="1:10" x14ac:dyDescent="0.25">
      <c r="A32" t="s">
        <v>55</v>
      </c>
      <c r="B32" t="s">
        <v>51</v>
      </c>
      <c r="C32" t="s">
        <v>43</v>
      </c>
      <c r="D32" t="s">
        <v>64</v>
      </c>
      <c r="G32">
        <f ca="1"/>
        <v>44061.464155092595</v>
      </c>
      <c r="H32" t="str">
        <f ca="1"/>
        <v>Porky Pig</v>
      </c>
      <c r="I32" t="str">
        <f ca="1"/>
        <v>Nachos</v>
      </c>
      <c r="J32" t="str">
        <f ca="1"/>
        <v>Yes</v>
      </c>
    </row>
    <row r="33" spans="1:10" x14ac:dyDescent="0.25">
      <c r="A33" t="s">
        <v>56</v>
      </c>
      <c r="B33" t="s">
        <v>29</v>
      </c>
      <c r="C33" t="s">
        <v>30</v>
      </c>
      <c r="D33" t="s">
        <v>64</v>
      </c>
      <c r="G33">
        <f ca="1"/>
        <v>44061.469942129632</v>
      </c>
      <c r="H33" t="str">
        <f ca="1"/>
        <v>Mickey Mouse</v>
      </c>
      <c r="I33" t="str">
        <f ca="1"/>
        <v>Cheese</v>
      </c>
      <c r="J33" t="str">
        <f ca="1"/>
        <v>Yes</v>
      </c>
    </row>
    <row r="34" spans="1:10" x14ac:dyDescent="0.25">
      <c r="A34" t="s">
        <v>57</v>
      </c>
      <c r="B34" t="s">
        <v>42</v>
      </c>
      <c r="C34" t="s">
        <v>30</v>
      </c>
      <c r="D34" t="s">
        <v>64</v>
      </c>
      <c r="G34">
        <f ca="1"/>
        <v>44061.470937500002</v>
      </c>
      <c r="H34" t="str">
        <f ca="1"/>
        <v>Wile E. Coyote</v>
      </c>
      <c r="I34" t="str">
        <f ca="1"/>
        <v>Cheese</v>
      </c>
      <c r="J34" t="str">
        <f ca="1"/>
        <v>Yes</v>
      </c>
    </row>
    <row r="35" spans="1:10" x14ac:dyDescent="0.25">
      <c r="A35" t="s">
        <v>58</v>
      </c>
      <c r="B35" t="s">
        <v>35</v>
      </c>
      <c r="C35" t="s">
        <v>36</v>
      </c>
      <c r="D35" t="s">
        <v>65</v>
      </c>
      <c r="G35">
        <f ca="1"/>
        <v>44061.471863425926</v>
      </c>
      <c r="H35" t="str">
        <f ca="1"/>
        <v>Yosemite Sam</v>
      </c>
      <c r="I35" t="str">
        <f ca="1"/>
        <v>Beer</v>
      </c>
      <c r="J35" t="str">
        <f ca="1"/>
        <v>No</v>
      </c>
    </row>
    <row r="36" spans="1:10" x14ac:dyDescent="0.25">
      <c r="A36" t="s">
        <v>59</v>
      </c>
      <c r="B36" t="s">
        <v>29</v>
      </c>
      <c r="C36" t="s">
        <v>30</v>
      </c>
      <c r="D36" t="s">
        <v>65</v>
      </c>
      <c r="G36">
        <f ca="1"/>
        <v>44061.481145833335</v>
      </c>
      <c r="H36" t="str">
        <f ca="1"/>
        <v>Mickey Mouse</v>
      </c>
      <c r="I36" t="str">
        <f ca="1"/>
        <v>Cheese</v>
      </c>
      <c r="J36" t="str">
        <f ca="1"/>
        <v>No</v>
      </c>
    </row>
    <row r="37" spans="1:10" x14ac:dyDescent="0.25">
      <c r="A37" t="s">
        <v>60</v>
      </c>
      <c r="B37" t="s">
        <v>53</v>
      </c>
      <c r="C37" t="s">
        <v>47</v>
      </c>
      <c r="D37" t="s">
        <v>65</v>
      </c>
      <c r="G37">
        <f ca="1"/>
        <v>44061.490532407406</v>
      </c>
      <c r="H37" t="str">
        <f ca="1"/>
        <v>Minnie Mouse</v>
      </c>
      <c r="I37" t="str">
        <f ca="1"/>
        <v>Cola</v>
      </c>
      <c r="J37" t="str">
        <f ca="1"/>
        <v>No</v>
      </c>
    </row>
    <row r="38" spans="1:10" x14ac:dyDescent="0.25">
      <c r="A38" t="s">
        <v>61</v>
      </c>
      <c r="B38" t="s">
        <v>37</v>
      </c>
      <c r="C38" t="s">
        <v>38</v>
      </c>
      <c r="D38" t="s">
        <v>64</v>
      </c>
      <c r="G38">
        <f ca="1"/>
        <v>44061.491712962961</v>
      </c>
      <c r="H38" t="str">
        <f ca="1"/>
        <v>Road Runner</v>
      </c>
      <c r="I38" t="str">
        <f ca="1"/>
        <v>Celery</v>
      </c>
      <c r="J38" t="str">
        <f ca="1"/>
        <v>Yes</v>
      </c>
    </row>
    <row r="39" spans="1:10" x14ac:dyDescent="0.25">
      <c r="A39" t="s">
        <v>62</v>
      </c>
      <c r="B39" t="s">
        <v>50</v>
      </c>
      <c r="C39" t="s">
        <v>40</v>
      </c>
      <c r="D39" t="s">
        <v>65</v>
      </c>
      <c r="G39">
        <f ca="1"/>
        <v>44061.494837962964</v>
      </c>
      <c r="H39" t="str">
        <f ca="1"/>
        <v>Gabby Goat</v>
      </c>
      <c r="I39" t="str">
        <f ca="1"/>
        <v>Steak</v>
      </c>
      <c r="J39" t="str">
        <f ca="1"/>
        <v>No</v>
      </c>
    </row>
    <row r="40" spans="1:10" x14ac:dyDescent="0.25">
      <c r="A40" t="s">
        <v>63</v>
      </c>
      <c r="B40" t="s">
        <v>50</v>
      </c>
      <c r="C40" t="s">
        <v>49</v>
      </c>
      <c r="D40" t="s">
        <v>64</v>
      </c>
      <c r="G40">
        <f ca="1"/>
        <v>44061.499988425923</v>
      </c>
      <c r="H40" t="str">
        <f ca="1"/>
        <v>Gabby Goat</v>
      </c>
      <c r="I40" t="str">
        <f ca="1"/>
        <v>Milk</v>
      </c>
      <c r="J40" t="str">
        <f ca="1"/>
        <v>Yes</v>
      </c>
    </row>
  </sheetData>
  <sortState xmlns:xlrd2="http://schemas.microsoft.com/office/spreadsheetml/2017/richdata2" ref="B31:E41">
    <sortCondition ref="E31:E41"/>
  </sortState>
  <mergeCells count="1">
    <mergeCell ref="G4:I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4EF47-E58B-486E-97D6-3CB10F53346C}">
  <sheetPr codeName="Sheet3"/>
  <dimension ref="A5:D40"/>
  <sheetViews>
    <sheetView topLeftCell="A4" workbookViewId="0">
      <selection activeCell="F15" sqref="F15"/>
    </sheetView>
  </sheetViews>
  <sheetFormatPr defaultRowHeight="15" x14ac:dyDescent="0.25"/>
  <cols>
    <col min="1" max="1" width="24.85546875" bestFit="1" customWidth="1"/>
  </cols>
  <sheetData>
    <row r="5" spans="1:4" x14ac:dyDescent="0.25">
      <c r="A5" s="1" t="s">
        <v>0</v>
      </c>
      <c r="B5" s="1" t="s">
        <v>27</v>
      </c>
      <c r="C5" s="1" t="s">
        <v>28</v>
      </c>
      <c r="D5" s="1" t="s">
        <v>54</v>
      </c>
    </row>
    <row r="6" spans="1:4" x14ac:dyDescent="0.25">
      <c r="A6" t="s">
        <v>1</v>
      </c>
      <c r="B6" t="s">
        <v>29</v>
      </c>
      <c r="C6" t="s">
        <v>43</v>
      </c>
      <c r="D6" t="s">
        <v>64</v>
      </c>
    </row>
    <row r="7" spans="1:4" x14ac:dyDescent="0.25">
      <c r="A7" t="s">
        <v>2</v>
      </c>
      <c r="B7" t="s">
        <v>31</v>
      </c>
      <c r="C7" t="s">
        <v>40</v>
      </c>
      <c r="D7" t="s">
        <v>65</v>
      </c>
    </row>
    <row r="8" spans="1:4" x14ac:dyDescent="0.25">
      <c r="A8" t="s">
        <v>3</v>
      </c>
      <c r="B8" t="s">
        <v>33</v>
      </c>
      <c r="C8" t="s">
        <v>38</v>
      </c>
      <c r="D8" t="s">
        <v>64</v>
      </c>
    </row>
    <row r="9" spans="1:4" x14ac:dyDescent="0.25">
      <c r="A9" t="s">
        <v>4</v>
      </c>
      <c r="B9" t="s">
        <v>46</v>
      </c>
      <c r="C9" t="s">
        <v>41</v>
      </c>
      <c r="D9" t="s">
        <v>65</v>
      </c>
    </row>
    <row r="10" spans="1:4" x14ac:dyDescent="0.25">
      <c r="A10" t="s">
        <v>5</v>
      </c>
      <c r="B10" t="s">
        <v>46</v>
      </c>
      <c r="C10" t="s">
        <v>41</v>
      </c>
      <c r="D10" t="s">
        <v>64</v>
      </c>
    </row>
    <row r="11" spans="1:4" x14ac:dyDescent="0.25">
      <c r="A11" t="s">
        <v>6</v>
      </c>
      <c r="B11" t="s">
        <v>39</v>
      </c>
      <c r="C11" t="s">
        <v>32</v>
      </c>
      <c r="D11" t="s">
        <v>64</v>
      </c>
    </row>
    <row r="12" spans="1:4" x14ac:dyDescent="0.25">
      <c r="A12" t="s">
        <v>7</v>
      </c>
      <c r="B12" t="s">
        <v>39</v>
      </c>
      <c r="C12" t="s">
        <v>40</v>
      </c>
      <c r="D12" t="s">
        <v>64</v>
      </c>
    </row>
    <row r="13" spans="1:4" x14ac:dyDescent="0.25">
      <c r="A13" t="s">
        <v>8</v>
      </c>
      <c r="B13" t="s">
        <v>31</v>
      </c>
      <c r="C13" t="s">
        <v>40</v>
      </c>
      <c r="D13" t="s">
        <v>64</v>
      </c>
    </row>
    <row r="14" spans="1:4" x14ac:dyDescent="0.25">
      <c r="A14" t="s">
        <v>9</v>
      </c>
      <c r="B14" t="s">
        <v>53</v>
      </c>
      <c r="C14" t="s">
        <v>49</v>
      </c>
      <c r="D14" t="s">
        <v>65</v>
      </c>
    </row>
    <row r="15" spans="1:4" x14ac:dyDescent="0.25">
      <c r="A15" t="s">
        <v>10</v>
      </c>
      <c r="B15" t="s">
        <v>33</v>
      </c>
      <c r="C15" t="s">
        <v>38</v>
      </c>
      <c r="D15" t="s">
        <v>65</v>
      </c>
    </row>
    <row r="16" spans="1:4" x14ac:dyDescent="0.25">
      <c r="A16" t="s">
        <v>11</v>
      </c>
      <c r="B16" t="s">
        <v>37</v>
      </c>
      <c r="C16" t="s">
        <v>38</v>
      </c>
      <c r="D16" t="s">
        <v>65</v>
      </c>
    </row>
    <row r="17" spans="1:4" x14ac:dyDescent="0.25">
      <c r="A17" t="s">
        <v>12</v>
      </c>
      <c r="B17" t="s">
        <v>35</v>
      </c>
      <c r="C17" t="s">
        <v>36</v>
      </c>
      <c r="D17" t="s">
        <v>65</v>
      </c>
    </row>
    <row r="18" spans="1:4" x14ac:dyDescent="0.25">
      <c r="A18" t="s">
        <v>13</v>
      </c>
      <c r="B18" t="s">
        <v>51</v>
      </c>
      <c r="C18" t="s">
        <v>43</v>
      </c>
      <c r="D18" t="s">
        <v>65</v>
      </c>
    </row>
    <row r="19" spans="1:4" x14ac:dyDescent="0.25">
      <c r="A19" t="s">
        <v>14</v>
      </c>
      <c r="B19" t="s">
        <v>31</v>
      </c>
      <c r="C19" t="s">
        <v>48</v>
      </c>
      <c r="D19" t="s">
        <v>64</v>
      </c>
    </row>
    <row r="20" spans="1:4" x14ac:dyDescent="0.25">
      <c r="A20" t="s">
        <v>15</v>
      </c>
      <c r="B20" t="s">
        <v>31</v>
      </c>
      <c r="C20" t="s">
        <v>48</v>
      </c>
      <c r="D20" t="s">
        <v>64</v>
      </c>
    </row>
    <row r="21" spans="1:4" x14ac:dyDescent="0.25">
      <c r="A21" t="s">
        <v>16</v>
      </c>
      <c r="B21" t="s">
        <v>44</v>
      </c>
      <c r="C21" t="s">
        <v>52</v>
      </c>
      <c r="D21" t="s">
        <v>64</v>
      </c>
    </row>
    <row r="22" spans="1:4" x14ac:dyDescent="0.25">
      <c r="A22" t="s">
        <v>17</v>
      </c>
      <c r="B22" t="s">
        <v>50</v>
      </c>
      <c r="C22" t="s">
        <v>40</v>
      </c>
      <c r="D22" t="s">
        <v>64</v>
      </c>
    </row>
    <row r="23" spans="1:4" x14ac:dyDescent="0.25">
      <c r="A23" t="s">
        <v>18</v>
      </c>
      <c r="B23" t="s">
        <v>42</v>
      </c>
      <c r="C23" t="s">
        <v>49</v>
      </c>
      <c r="D23" t="s">
        <v>65</v>
      </c>
    </row>
    <row r="24" spans="1:4" x14ac:dyDescent="0.25">
      <c r="A24" t="s">
        <v>19</v>
      </c>
      <c r="B24" t="s">
        <v>42</v>
      </c>
      <c r="C24" t="s">
        <v>30</v>
      </c>
      <c r="D24" t="s">
        <v>65</v>
      </c>
    </row>
    <row r="25" spans="1:4" x14ac:dyDescent="0.25">
      <c r="A25" t="s">
        <v>20</v>
      </c>
      <c r="B25" t="s">
        <v>44</v>
      </c>
      <c r="C25" t="s">
        <v>48</v>
      </c>
      <c r="D25" t="s">
        <v>64</v>
      </c>
    </row>
    <row r="26" spans="1:4" x14ac:dyDescent="0.25">
      <c r="A26" t="s">
        <v>21</v>
      </c>
      <c r="B26" t="s">
        <v>37</v>
      </c>
      <c r="C26" t="s">
        <v>38</v>
      </c>
      <c r="D26" t="s">
        <v>64</v>
      </c>
    </row>
    <row r="27" spans="1:4" x14ac:dyDescent="0.25">
      <c r="A27" t="s">
        <v>22</v>
      </c>
      <c r="B27" t="s">
        <v>37</v>
      </c>
      <c r="C27" t="s">
        <v>38</v>
      </c>
      <c r="D27" t="s">
        <v>65</v>
      </c>
    </row>
    <row r="28" spans="1:4" x14ac:dyDescent="0.25">
      <c r="A28" t="s">
        <v>23</v>
      </c>
      <c r="B28" t="s">
        <v>33</v>
      </c>
      <c r="C28" t="s">
        <v>34</v>
      </c>
      <c r="D28" t="s">
        <v>64</v>
      </c>
    </row>
    <row r="29" spans="1:4" x14ac:dyDescent="0.25">
      <c r="A29" t="s">
        <v>24</v>
      </c>
      <c r="B29" t="s">
        <v>33</v>
      </c>
      <c r="C29" t="s">
        <v>34</v>
      </c>
      <c r="D29" t="s">
        <v>64</v>
      </c>
    </row>
    <row r="30" spans="1:4" x14ac:dyDescent="0.25">
      <c r="A30" t="s">
        <v>25</v>
      </c>
      <c r="B30" t="s">
        <v>35</v>
      </c>
      <c r="C30" t="s">
        <v>36</v>
      </c>
      <c r="D30" t="s">
        <v>64</v>
      </c>
    </row>
    <row r="31" spans="1:4" x14ac:dyDescent="0.25">
      <c r="A31" t="s">
        <v>26</v>
      </c>
      <c r="B31" t="s">
        <v>44</v>
      </c>
      <c r="C31" t="s">
        <v>45</v>
      </c>
      <c r="D31" t="s">
        <v>64</v>
      </c>
    </row>
    <row r="32" spans="1:4" x14ac:dyDescent="0.25">
      <c r="A32" t="s">
        <v>55</v>
      </c>
      <c r="B32" t="s">
        <v>51</v>
      </c>
      <c r="C32" t="s">
        <v>43</v>
      </c>
      <c r="D32" t="s">
        <v>64</v>
      </c>
    </row>
    <row r="33" spans="1:4" x14ac:dyDescent="0.25">
      <c r="A33" t="s">
        <v>56</v>
      </c>
      <c r="B33" t="s">
        <v>29</v>
      </c>
      <c r="C33" t="s">
        <v>30</v>
      </c>
      <c r="D33" t="s">
        <v>64</v>
      </c>
    </row>
    <row r="34" spans="1:4" x14ac:dyDescent="0.25">
      <c r="A34" t="s">
        <v>57</v>
      </c>
      <c r="B34" t="s">
        <v>42</v>
      </c>
      <c r="C34" t="s">
        <v>30</v>
      </c>
      <c r="D34" t="s">
        <v>64</v>
      </c>
    </row>
    <row r="35" spans="1:4" x14ac:dyDescent="0.25">
      <c r="A35" t="s">
        <v>58</v>
      </c>
      <c r="B35" t="s">
        <v>35</v>
      </c>
      <c r="C35" t="s">
        <v>36</v>
      </c>
      <c r="D35" t="s">
        <v>65</v>
      </c>
    </row>
    <row r="36" spans="1:4" x14ac:dyDescent="0.25">
      <c r="A36" t="s">
        <v>59</v>
      </c>
      <c r="B36" t="s">
        <v>29</v>
      </c>
      <c r="C36" t="s">
        <v>30</v>
      </c>
      <c r="D36" t="s">
        <v>65</v>
      </c>
    </row>
    <row r="37" spans="1:4" x14ac:dyDescent="0.25">
      <c r="A37" t="s">
        <v>60</v>
      </c>
      <c r="B37" t="s">
        <v>53</v>
      </c>
      <c r="C37" t="s">
        <v>47</v>
      </c>
      <c r="D37" t="s">
        <v>65</v>
      </c>
    </row>
    <row r="38" spans="1:4" x14ac:dyDescent="0.25">
      <c r="A38" t="s">
        <v>61</v>
      </c>
      <c r="B38" t="s">
        <v>37</v>
      </c>
      <c r="C38" t="s">
        <v>38</v>
      </c>
      <c r="D38" t="s">
        <v>64</v>
      </c>
    </row>
    <row r="39" spans="1:4" x14ac:dyDescent="0.25">
      <c r="A39" t="s">
        <v>62</v>
      </c>
      <c r="B39" t="s">
        <v>50</v>
      </c>
      <c r="C39" t="s">
        <v>40</v>
      </c>
      <c r="D39" t="s">
        <v>65</v>
      </c>
    </row>
    <row r="40" spans="1:4" x14ac:dyDescent="0.25">
      <c r="A40" t="s">
        <v>63</v>
      </c>
      <c r="B40" t="s">
        <v>50</v>
      </c>
      <c r="C40" t="s">
        <v>49</v>
      </c>
      <c r="D40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FINAL Selections</vt:lpstr>
      <vt:lpstr>Raw Data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Kesavar Kabilar</cp:lastModifiedBy>
  <dcterms:created xsi:type="dcterms:W3CDTF">2021-01-15T17:17:44Z</dcterms:created>
  <dcterms:modified xsi:type="dcterms:W3CDTF">2023-09-02T22:28:03Z</dcterms:modified>
</cp:coreProperties>
</file>