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6C0D1A47-2037-46EB-8E0C-768E928A1428}" xr6:coauthVersionLast="47" xr6:coauthVersionMax="47" xr10:uidLastSave="{00000000-0000-0000-0000-000000000000}"/>
  <bookViews>
    <workbookView xWindow="-120" yWindow="-120" windowWidth="20730" windowHeight="11160" xr2:uid="{1072E9B1-C487-4D11-8513-EA7859DD9D75}"/>
  </bookViews>
  <sheets>
    <sheet name="Dashboard" sheetId="2" r:id="rId1"/>
    <sheet name="Amortization Schedule" sheetId="1" r:id="rId2"/>
  </sheets>
  <definedNames>
    <definedName name="extrapmt">'Amortization Schedule'!$K$6</definedName>
    <definedName name="int">'Amortization Schedule'!$B$5</definedName>
    <definedName name="interval">'Amortization Schedule'!$K$4</definedName>
    <definedName name="n">'Amortization Schedule'!$B$3</definedName>
    <definedName name="P">'Amortization Schedule'!$B$4</definedName>
    <definedName name="pmt">'Amortization Schedule'!$E$5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 a="1"/>
  <c r="K4" i="1" s="1"/>
  <c r="E231" i="1" s="1"/>
  <c r="K6" i="1"/>
  <c r="E358" i="1" l="1"/>
  <c r="E319" i="1"/>
  <c r="E351" i="1"/>
  <c r="E299" i="1"/>
  <c r="E344" i="1"/>
  <c r="E255" i="1"/>
  <c r="E366" i="1"/>
  <c r="E333" i="1"/>
  <c r="E363" i="1"/>
  <c r="E356" i="1"/>
  <c r="E350" i="1"/>
  <c r="E342" i="1"/>
  <c r="E328" i="1"/>
  <c r="E313" i="1"/>
  <c r="E283" i="1"/>
  <c r="E239" i="1"/>
  <c r="E8" i="1"/>
  <c r="E362" i="1"/>
  <c r="E355" i="1"/>
  <c r="E347" i="1"/>
  <c r="E340" i="1"/>
  <c r="E327" i="1"/>
  <c r="E312" i="1"/>
  <c r="E275" i="1"/>
  <c r="E227" i="1"/>
  <c r="E367" i="1"/>
  <c r="E360" i="1"/>
  <c r="E352" i="1"/>
  <c r="E346" i="1"/>
  <c r="E335" i="1"/>
  <c r="E321" i="1"/>
  <c r="E303" i="1"/>
  <c r="E259" i="1"/>
  <c r="E339" i="1"/>
  <c r="E332" i="1"/>
  <c r="E324" i="1"/>
  <c r="E317" i="1"/>
  <c r="E311" i="1"/>
  <c r="E291" i="1"/>
  <c r="E271" i="1"/>
  <c r="E251" i="1"/>
  <c r="E223" i="1"/>
  <c r="E364" i="1"/>
  <c r="E359" i="1"/>
  <c r="E354" i="1"/>
  <c r="E348" i="1"/>
  <c r="E343" i="1"/>
  <c r="E337" i="1"/>
  <c r="E329" i="1"/>
  <c r="E323" i="1"/>
  <c r="E316" i="1"/>
  <c r="E307" i="1"/>
  <c r="E287" i="1"/>
  <c r="E267" i="1"/>
  <c r="E243" i="1"/>
  <c r="E235" i="1"/>
  <c r="E219" i="1"/>
  <c r="E365" i="1"/>
  <c r="E361" i="1"/>
  <c r="E357" i="1"/>
  <c r="E353" i="1"/>
  <c r="E349" i="1"/>
  <c r="E345" i="1"/>
  <c r="E341" i="1"/>
  <c r="E336" i="1"/>
  <c r="E331" i="1"/>
  <c r="E325" i="1"/>
  <c r="E320" i="1"/>
  <c r="E315" i="1"/>
  <c r="E308" i="1"/>
  <c r="E295" i="1"/>
  <c r="E279" i="1"/>
  <c r="E263" i="1"/>
  <c r="E24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215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18" i="1"/>
  <c r="E322" i="1"/>
  <c r="E326" i="1"/>
  <c r="E330" i="1"/>
  <c r="E334" i="1"/>
  <c r="E338" i="1"/>
  <c r="B3" i="1"/>
  <c r="J14" i="1" l="1"/>
  <c r="B5" i="1"/>
  <c r="B4" i="1"/>
  <c r="B8" i="1" s="1"/>
  <c r="G8" i="2"/>
  <c r="C8" i="1" l="1"/>
  <c r="E5" i="1"/>
  <c r="C7" i="2" l="1"/>
  <c r="D8" i="1"/>
  <c r="F8" i="1" s="1"/>
  <c r="B9" i="1" s="1"/>
  <c r="G7" i="2"/>
  <c r="C9" i="1" l="1"/>
  <c r="D9" i="1" s="1"/>
  <c r="F9" i="1" s="1"/>
  <c r="H8" i="1" l="1"/>
  <c r="B10" i="1"/>
  <c r="C10" i="1" s="1"/>
  <c r="D10" i="1" s="1"/>
  <c r="F10" i="1" s="1"/>
  <c r="B11" i="1" s="1"/>
  <c r="C11" i="1" s="1"/>
  <c r="D11" i="1" s="1"/>
  <c r="F11" i="1" s="1"/>
  <c r="H9" i="1" l="1"/>
  <c r="H10" i="1"/>
  <c r="B12" i="1"/>
  <c r="C12" i="1" l="1"/>
  <c r="D12" i="1" s="1"/>
  <c r="F12" i="1" s="1"/>
  <c r="H11" i="1" l="1"/>
  <c r="B13" i="1"/>
  <c r="C13" i="1" s="1"/>
  <c r="D13" i="1" s="1"/>
  <c r="F13" i="1" s="1"/>
  <c r="B14" i="1" s="1"/>
  <c r="H12" i="1" l="1"/>
  <c r="C14" i="1"/>
  <c r="D14" i="1" s="1"/>
  <c r="F14" i="1" l="1"/>
  <c r="B15" i="1" l="1"/>
  <c r="C15" i="1" s="1"/>
  <c r="D15" i="1" s="1"/>
  <c r="H13" i="1"/>
  <c r="F15" i="1" l="1"/>
  <c r="B16" i="1" l="1"/>
  <c r="C16" i="1" s="1"/>
  <c r="D16" i="1" s="1"/>
  <c r="H14" i="1"/>
  <c r="F16" i="1" l="1"/>
  <c r="B17" i="1" l="1"/>
  <c r="C17" i="1" s="1"/>
  <c r="D17" i="1" s="1"/>
  <c r="H15" i="1"/>
  <c r="F17" i="1" l="1"/>
  <c r="B18" i="1" l="1"/>
  <c r="C18" i="1" s="1"/>
  <c r="D18" i="1" s="1"/>
  <c r="H16" i="1"/>
  <c r="F18" i="1" l="1"/>
  <c r="B19" i="1" l="1"/>
  <c r="C19" i="1" s="1"/>
  <c r="D19" i="1" s="1"/>
  <c r="H17" i="1"/>
  <c r="F19" i="1" l="1"/>
  <c r="B20" i="1" l="1"/>
  <c r="C20" i="1" s="1"/>
  <c r="D20" i="1" s="1"/>
  <c r="H18" i="1"/>
  <c r="F20" i="1" l="1"/>
  <c r="B21" i="1" l="1"/>
  <c r="C21" i="1" s="1"/>
  <c r="D21" i="1" s="1"/>
  <c r="H19" i="1"/>
  <c r="F21" i="1" l="1"/>
  <c r="B22" i="1" l="1"/>
  <c r="C22" i="1" s="1"/>
  <c r="D22" i="1" s="1"/>
  <c r="H20" i="1"/>
  <c r="F22" i="1" l="1"/>
  <c r="B23" i="1" l="1"/>
  <c r="C23" i="1" s="1"/>
  <c r="D23" i="1" s="1"/>
  <c r="H21" i="1"/>
  <c r="F23" i="1" l="1"/>
  <c r="H22" i="1" l="1"/>
  <c r="B24" i="1"/>
  <c r="C24" i="1" s="1"/>
  <c r="D24" i="1" s="1"/>
  <c r="F24" i="1" l="1"/>
  <c r="B25" i="1" l="1"/>
  <c r="C25" i="1" s="1"/>
  <c r="D25" i="1" s="1"/>
  <c r="H23" i="1"/>
  <c r="F25" i="1" l="1"/>
  <c r="B26" i="1" l="1"/>
  <c r="C26" i="1" s="1"/>
  <c r="D26" i="1" s="1"/>
  <c r="H24" i="1"/>
  <c r="F26" i="1" l="1"/>
  <c r="B27" i="1" l="1"/>
  <c r="C27" i="1" s="1"/>
  <c r="D27" i="1" s="1"/>
  <c r="H25" i="1"/>
  <c r="F27" i="1" l="1"/>
  <c r="B28" i="1" l="1"/>
  <c r="C28" i="1" s="1"/>
  <c r="D28" i="1" s="1"/>
  <c r="H26" i="1"/>
  <c r="F28" i="1" l="1"/>
  <c r="B29" i="1" l="1"/>
  <c r="C29" i="1" s="1"/>
  <c r="D29" i="1" s="1"/>
  <c r="H27" i="1"/>
  <c r="F29" i="1" l="1"/>
  <c r="B30" i="1" l="1"/>
  <c r="C30" i="1" s="1"/>
  <c r="D30" i="1" s="1"/>
  <c r="H28" i="1"/>
  <c r="F30" i="1" l="1"/>
  <c r="B31" i="1" l="1"/>
  <c r="C31" i="1" s="1"/>
  <c r="D31" i="1" s="1"/>
  <c r="H29" i="1"/>
  <c r="F31" i="1" l="1"/>
  <c r="B32" i="1" l="1"/>
  <c r="C32" i="1" s="1"/>
  <c r="D32" i="1" s="1"/>
  <c r="H30" i="1"/>
  <c r="F32" i="1" l="1"/>
  <c r="B33" i="1" l="1"/>
  <c r="C33" i="1" s="1"/>
  <c r="D33" i="1" s="1"/>
  <c r="H31" i="1"/>
  <c r="F33" i="1" l="1"/>
  <c r="B34" i="1" l="1"/>
  <c r="C34" i="1" s="1"/>
  <c r="D34" i="1" s="1"/>
  <c r="H32" i="1"/>
  <c r="F34" i="1" l="1"/>
  <c r="B35" i="1" l="1"/>
  <c r="C35" i="1" s="1"/>
  <c r="D35" i="1" s="1"/>
  <c r="H33" i="1"/>
  <c r="F35" i="1" l="1"/>
  <c r="B36" i="1" l="1"/>
  <c r="C36" i="1" s="1"/>
  <c r="D36" i="1" s="1"/>
  <c r="H34" i="1"/>
  <c r="F36" i="1" l="1"/>
  <c r="B37" i="1" l="1"/>
  <c r="C37" i="1" s="1"/>
  <c r="D37" i="1" s="1"/>
  <c r="H35" i="1"/>
  <c r="F37" i="1" l="1"/>
  <c r="B38" i="1" l="1"/>
  <c r="C38" i="1" s="1"/>
  <c r="D38" i="1" s="1"/>
  <c r="H36" i="1"/>
  <c r="F38" i="1" l="1"/>
  <c r="B39" i="1" l="1"/>
  <c r="C39" i="1" s="1"/>
  <c r="D39" i="1" s="1"/>
  <c r="H37" i="1"/>
  <c r="F39" i="1" l="1"/>
  <c r="B40" i="1" l="1"/>
  <c r="C40" i="1" s="1"/>
  <c r="D40" i="1" s="1"/>
  <c r="H38" i="1"/>
  <c r="F40" i="1" l="1"/>
  <c r="H39" i="1" l="1"/>
  <c r="B41" i="1"/>
  <c r="C41" i="1" s="1"/>
  <c r="D41" i="1" s="1"/>
  <c r="F41" i="1" l="1"/>
  <c r="B42" i="1" l="1"/>
  <c r="C42" i="1" s="1"/>
  <c r="D42" i="1" s="1"/>
  <c r="H40" i="1"/>
  <c r="F42" i="1" l="1"/>
  <c r="B43" i="1" l="1"/>
  <c r="C43" i="1" s="1"/>
  <c r="D43" i="1" s="1"/>
  <c r="H41" i="1"/>
  <c r="F43" i="1" l="1"/>
  <c r="B44" i="1" l="1"/>
  <c r="C44" i="1" s="1"/>
  <c r="D44" i="1" s="1"/>
  <c r="H42" i="1"/>
  <c r="F44" i="1" l="1"/>
  <c r="B45" i="1" l="1"/>
  <c r="C45" i="1" s="1"/>
  <c r="D45" i="1" s="1"/>
  <c r="H43" i="1"/>
  <c r="F45" i="1" l="1"/>
  <c r="B46" i="1" l="1"/>
  <c r="C46" i="1" s="1"/>
  <c r="D46" i="1" s="1"/>
  <c r="H44" i="1"/>
  <c r="F46" i="1" l="1"/>
  <c r="B47" i="1" l="1"/>
  <c r="C47" i="1" s="1"/>
  <c r="D47" i="1" s="1"/>
  <c r="H45" i="1"/>
  <c r="F47" i="1" l="1"/>
  <c r="B48" i="1" l="1"/>
  <c r="C48" i="1" s="1"/>
  <c r="D48" i="1" s="1"/>
  <c r="H46" i="1"/>
  <c r="F48" i="1" l="1"/>
  <c r="B49" i="1" l="1"/>
  <c r="C49" i="1" s="1"/>
  <c r="D49" i="1" s="1"/>
  <c r="H47" i="1"/>
  <c r="F49" i="1" l="1"/>
  <c r="B50" i="1" l="1"/>
  <c r="C50" i="1" s="1"/>
  <c r="D50" i="1" s="1"/>
  <c r="H48" i="1"/>
  <c r="F50" i="1" l="1"/>
  <c r="H49" i="1" l="1"/>
  <c r="B51" i="1"/>
  <c r="C51" i="1" s="1"/>
  <c r="D51" i="1" s="1"/>
  <c r="F51" i="1" l="1"/>
  <c r="B52" i="1" l="1"/>
  <c r="C52" i="1" s="1"/>
  <c r="D52" i="1" s="1"/>
  <c r="H50" i="1"/>
  <c r="F52" i="1" l="1"/>
  <c r="B53" i="1" l="1"/>
  <c r="C53" i="1" s="1"/>
  <c r="D53" i="1" s="1"/>
  <c r="H51" i="1"/>
  <c r="F53" i="1" l="1"/>
  <c r="B54" i="1" l="1"/>
  <c r="C54" i="1" s="1"/>
  <c r="D54" i="1" s="1"/>
  <c r="H52" i="1"/>
  <c r="F54" i="1" l="1"/>
  <c r="B55" i="1" l="1"/>
  <c r="C55" i="1" s="1"/>
  <c r="D55" i="1" s="1"/>
  <c r="H53" i="1"/>
  <c r="F55" i="1" l="1"/>
  <c r="B56" i="1" l="1"/>
  <c r="C56" i="1" s="1"/>
  <c r="D56" i="1" s="1"/>
  <c r="H54" i="1"/>
  <c r="F56" i="1" l="1"/>
  <c r="B57" i="1" l="1"/>
  <c r="C57" i="1" s="1"/>
  <c r="D57" i="1" s="1"/>
  <c r="H55" i="1"/>
  <c r="F57" i="1" l="1"/>
  <c r="B58" i="1" l="1"/>
  <c r="C58" i="1" s="1"/>
  <c r="D58" i="1" s="1"/>
  <c r="H56" i="1"/>
  <c r="F58" i="1" l="1"/>
  <c r="B59" i="1" l="1"/>
  <c r="C59" i="1" s="1"/>
  <c r="D59" i="1" s="1"/>
  <c r="H57" i="1"/>
  <c r="F59" i="1" l="1"/>
  <c r="B60" i="1" l="1"/>
  <c r="C60" i="1" s="1"/>
  <c r="D60" i="1" s="1"/>
  <c r="H58" i="1"/>
  <c r="F60" i="1" l="1"/>
  <c r="B61" i="1" l="1"/>
  <c r="C61" i="1" s="1"/>
  <c r="D61" i="1" s="1"/>
  <c r="H59" i="1"/>
  <c r="F61" i="1" l="1"/>
  <c r="B62" i="1" l="1"/>
  <c r="C62" i="1" s="1"/>
  <c r="D62" i="1" s="1"/>
  <c r="H60" i="1"/>
  <c r="F62" i="1" l="1"/>
  <c r="B63" i="1" l="1"/>
  <c r="C63" i="1" s="1"/>
  <c r="D63" i="1" s="1"/>
  <c r="H61" i="1"/>
  <c r="F63" i="1" l="1"/>
  <c r="B64" i="1" l="1"/>
  <c r="C64" i="1" s="1"/>
  <c r="D64" i="1" s="1"/>
  <c r="H62" i="1"/>
  <c r="F64" i="1" l="1"/>
  <c r="B65" i="1" l="1"/>
  <c r="C65" i="1" s="1"/>
  <c r="D65" i="1" s="1"/>
  <c r="H63" i="1"/>
  <c r="F65" i="1" l="1"/>
  <c r="B66" i="1" l="1"/>
  <c r="C66" i="1" s="1"/>
  <c r="D66" i="1" s="1"/>
  <c r="H64" i="1"/>
  <c r="F66" i="1" l="1"/>
  <c r="B67" i="1" l="1"/>
  <c r="C67" i="1" s="1"/>
  <c r="D67" i="1" s="1"/>
  <c r="H65" i="1"/>
  <c r="F67" i="1" l="1"/>
  <c r="B68" i="1" l="1"/>
  <c r="C68" i="1" s="1"/>
  <c r="D68" i="1" s="1"/>
  <c r="H66" i="1"/>
  <c r="F68" i="1" l="1"/>
  <c r="B69" i="1" l="1"/>
  <c r="C69" i="1" s="1"/>
  <c r="D69" i="1" s="1"/>
  <c r="F69" i="1" s="1"/>
  <c r="H68" i="1" s="1"/>
  <c r="H67" i="1"/>
  <c r="B70" i="1" l="1"/>
  <c r="C70" i="1" l="1"/>
  <c r="D70" i="1" s="1"/>
  <c r="F70" i="1" l="1"/>
  <c r="B71" i="1" l="1"/>
  <c r="C71" i="1" s="1"/>
  <c r="D71" i="1" s="1"/>
  <c r="H69" i="1"/>
  <c r="F71" i="1" l="1"/>
  <c r="B72" i="1" l="1"/>
  <c r="C72" i="1" s="1"/>
  <c r="D72" i="1" s="1"/>
  <c r="H70" i="1"/>
  <c r="F72" i="1" l="1"/>
  <c r="B73" i="1" l="1"/>
  <c r="C73" i="1" s="1"/>
  <c r="D73" i="1" s="1"/>
  <c r="H71" i="1"/>
  <c r="F73" i="1" l="1"/>
  <c r="B74" i="1" l="1"/>
  <c r="C74" i="1" s="1"/>
  <c r="D74" i="1" s="1"/>
  <c r="H72" i="1"/>
  <c r="F74" i="1" l="1"/>
  <c r="B75" i="1" l="1"/>
  <c r="C75" i="1" s="1"/>
  <c r="D75" i="1" s="1"/>
  <c r="H73" i="1"/>
  <c r="F75" i="1" l="1"/>
  <c r="B76" i="1" l="1"/>
  <c r="C76" i="1" s="1"/>
  <c r="D76" i="1" s="1"/>
  <c r="H74" i="1"/>
  <c r="F76" i="1" l="1"/>
  <c r="B77" i="1" l="1"/>
  <c r="C77" i="1" s="1"/>
  <c r="D77" i="1" s="1"/>
  <c r="H75" i="1"/>
  <c r="F77" i="1" l="1"/>
  <c r="B78" i="1" l="1"/>
  <c r="C78" i="1" s="1"/>
  <c r="D78" i="1" s="1"/>
  <c r="H76" i="1"/>
  <c r="F78" i="1" l="1"/>
  <c r="B79" i="1" l="1"/>
  <c r="C79" i="1" s="1"/>
  <c r="D79" i="1" s="1"/>
  <c r="H77" i="1"/>
  <c r="F79" i="1" l="1"/>
  <c r="B80" i="1" l="1"/>
  <c r="C80" i="1" s="1"/>
  <c r="D80" i="1" s="1"/>
  <c r="H78" i="1"/>
  <c r="F80" i="1" l="1"/>
  <c r="B81" i="1" l="1"/>
  <c r="C81" i="1" s="1"/>
  <c r="D81" i="1" s="1"/>
  <c r="H79" i="1"/>
  <c r="F81" i="1" l="1"/>
  <c r="B82" i="1" l="1"/>
  <c r="C82" i="1" s="1"/>
  <c r="D82" i="1" s="1"/>
  <c r="H80" i="1"/>
  <c r="F82" i="1" l="1"/>
  <c r="B83" i="1" l="1"/>
  <c r="C83" i="1" s="1"/>
  <c r="D83" i="1" s="1"/>
  <c r="H81" i="1"/>
  <c r="F83" i="1" l="1"/>
  <c r="B84" i="1" l="1"/>
  <c r="C84" i="1" s="1"/>
  <c r="D84" i="1" s="1"/>
  <c r="H82" i="1"/>
  <c r="F84" i="1" l="1"/>
  <c r="B85" i="1" l="1"/>
  <c r="C85" i="1" s="1"/>
  <c r="D85" i="1" s="1"/>
  <c r="H83" i="1"/>
  <c r="F85" i="1" l="1"/>
  <c r="B86" i="1" l="1"/>
  <c r="C86" i="1" s="1"/>
  <c r="D86" i="1" s="1"/>
  <c r="H84" i="1"/>
  <c r="F86" i="1" l="1"/>
  <c r="B87" i="1" l="1"/>
  <c r="C87" i="1" s="1"/>
  <c r="D87" i="1" s="1"/>
  <c r="H85" i="1"/>
  <c r="F87" i="1" l="1"/>
  <c r="B88" i="1" l="1"/>
  <c r="C88" i="1" s="1"/>
  <c r="D88" i="1" s="1"/>
  <c r="H86" i="1"/>
  <c r="F88" i="1" l="1"/>
  <c r="B89" i="1" l="1"/>
  <c r="C89" i="1" s="1"/>
  <c r="D89" i="1" s="1"/>
  <c r="F89" i="1" s="1"/>
  <c r="H88" i="1" s="1"/>
  <c r="H87" i="1"/>
  <c r="B90" i="1" l="1"/>
  <c r="C90" i="1" l="1"/>
  <c r="D90" i="1" s="1"/>
  <c r="F90" i="1" l="1"/>
  <c r="B91" i="1" l="1"/>
  <c r="C91" i="1" s="1"/>
  <c r="D91" i="1" s="1"/>
  <c r="H89" i="1"/>
  <c r="F91" i="1" l="1"/>
  <c r="B92" i="1" l="1"/>
  <c r="C92" i="1" s="1"/>
  <c r="D92" i="1" s="1"/>
  <c r="H90" i="1"/>
  <c r="F92" i="1" l="1"/>
  <c r="B93" i="1" l="1"/>
  <c r="C93" i="1" s="1"/>
  <c r="D93" i="1" s="1"/>
  <c r="H91" i="1"/>
  <c r="F93" i="1" l="1"/>
  <c r="B94" i="1" l="1"/>
  <c r="C94" i="1" s="1"/>
  <c r="D94" i="1" s="1"/>
  <c r="H92" i="1"/>
  <c r="F94" i="1" l="1"/>
  <c r="B95" i="1" l="1"/>
  <c r="C95" i="1" s="1"/>
  <c r="D95" i="1" s="1"/>
  <c r="H93" i="1"/>
  <c r="F95" i="1" l="1"/>
  <c r="B96" i="1" l="1"/>
  <c r="C96" i="1" s="1"/>
  <c r="D96" i="1" s="1"/>
  <c r="H94" i="1"/>
  <c r="F96" i="1" l="1"/>
  <c r="B97" i="1" l="1"/>
  <c r="C97" i="1" s="1"/>
  <c r="D97" i="1" s="1"/>
  <c r="H95" i="1"/>
  <c r="F97" i="1" l="1"/>
  <c r="B98" i="1" l="1"/>
  <c r="H96" i="1"/>
  <c r="C98" i="1"/>
  <c r="D98" i="1" s="1"/>
  <c r="F98" i="1" l="1"/>
  <c r="B99" i="1" l="1"/>
  <c r="C99" i="1" s="1"/>
  <c r="D99" i="1" s="1"/>
  <c r="H97" i="1"/>
  <c r="F99" i="1" l="1"/>
  <c r="B100" i="1" l="1"/>
  <c r="C100" i="1" s="1"/>
  <c r="D100" i="1" s="1"/>
  <c r="H98" i="1"/>
  <c r="F100" i="1" l="1"/>
  <c r="B101" i="1" l="1"/>
  <c r="C101" i="1" s="1"/>
  <c r="D101" i="1" s="1"/>
  <c r="H99" i="1"/>
  <c r="F101" i="1" l="1"/>
  <c r="B102" i="1" l="1"/>
  <c r="C102" i="1" s="1"/>
  <c r="D102" i="1" s="1"/>
  <c r="H100" i="1"/>
  <c r="F102" i="1" l="1"/>
  <c r="B103" i="1" l="1"/>
  <c r="C103" i="1" s="1"/>
  <c r="D103" i="1" s="1"/>
  <c r="H101" i="1"/>
  <c r="F103" i="1" l="1"/>
  <c r="B104" i="1" l="1"/>
  <c r="C104" i="1" s="1"/>
  <c r="D104" i="1" s="1"/>
  <c r="H102" i="1"/>
  <c r="F104" i="1" l="1"/>
  <c r="B105" i="1" l="1"/>
  <c r="C105" i="1" s="1"/>
  <c r="D105" i="1" s="1"/>
  <c r="H103" i="1"/>
  <c r="F105" i="1" l="1"/>
  <c r="B106" i="1" l="1"/>
  <c r="C106" i="1" s="1"/>
  <c r="D106" i="1" s="1"/>
  <c r="H104" i="1"/>
  <c r="F106" i="1" l="1"/>
  <c r="B107" i="1" l="1"/>
  <c r="C107" i="1" s="1"/>
  <c r="D107" i="1" s="1"/>
  <c r="F107" i="1" s="1"/>
  <c r="H105" i="1"/>
  <c r="H106" i="1" l="1"/>
  <c r="B108" i="1"/>
  <c r="C108" i="1" l="1"/>
  <c r="D108" i="1" s="1"/>
  <c r="F108" i="1" l="1"/>
  <c r="B109" i="1" l="1"/>
  <c r="C109" i="1" s="1"/>
  <c r="D109" i="1" s="1"/>
  <c r="H107" i="1"/>
  <c r="F109" i="1" l="1"/>
  <c r="B110" i="1" l="1"/>
  <c r="C110" i="1" s="1"/>
  <c r="D110" i="1" s="1"/>
  <c r="H108" i="1"/>
  <c r="F110" i="1" l="1"/>
  <c r="B111" i="1" l="1"/>
  <c r="C111" i="1" s="1"/>
  <c r="D111" i="1" s="1"/>
  <c r="H109" i="1"/>
  <c r="F111" i="1" l="1"/>
  <c r="B112" i="1" l="1"/>
  <c r="C112" i="1" s="1"/>
  <c r="D112" i="1" s="1"/>
  <c r="H110" i="1"/>
  <c r="F112" i="1" l="1"/>
  <c r="B113" i="1" l="1"/>
  <c r="C113" i="1" s="1"/>
  <c r="D113" i="1" s="1"/>
  <c r="H111" i="1"/>
  <c r="F113" i="1" l="1"/>
  <c r="B114" i="1" l="1"/>
  <c r="C114" i="1" s="1"/>
  <c r="D114" i="1" s="1"/>
  <c r="H112" i="1"/>
  <c r="F114" i="1" l="1"/>
  <c r="B115" i="1" l="1"/>
  <c r="C115" i="1" s="1"/>
  <c r="D115" i="1" s="1"/>
  <c r="H113" i="1"/>
  <c r="F115" i="1" l="1"/>
  <c r="B116" i="1" l="1"/>
  <c r="C116" i="1" s="1"/>
  <c r="D116" i="1" s="1"/>
  <c r="H114" i="1"/>
  <c r="F116" i="1" l="1"/>
  <c r="B117" i="1" l="1"/>
  <c r="C117" i="1" s="1"/>
  <c r="D117" i="1" s="1"/>
  <c r="H115" i="1"/>
  <c r="F117" i="1" l="1"/>
  <c r="B118" i="1" l="1"/>
  <c r="C118" i="1" s="1"/>
  <c r="D118" i="1" s="1"/>
  <c r="H116" i="1"/>
  <c r="F118" i="1" l="1"/>
  <c r="B119" i="1" l="1"/>
  <c r="C119" i="1" s="1"/>
  <c r="D119" i="1" s="1"/>
  <c r="H117" i="1"/>
  <c r="F119" i="1" l="1"/>
  <c r="B120" i="1" l="1"/>
  <c r="C120" i="1" s="1"/>
  <c r="D120" i="1" s="1"/>
  <c r="H118" i="1"/>
  <c r="F120" i="1" l="1"/>
  <c r="B121" i="1" l="1"/>
  <c r="C121" i="1" s="1"/>
  <c r="D121" i="1" s="1"/>
  <c r="H119" i="1"/>
  <c r="F121" i="1" l="1"/>
  <c r="B122" i="1" l="1"/>
  <c r="C122" i="1" s="1"/>
  <c r="D122" i="1" s="1"/>
  <c r="H120" i="1"/>
  <c r="F122" i="1" l="1"/>
  <c r="B123" i="1" l="1"/>
  <c r="C123" i="1" s="1"/>
  <c r="D123" i="1" s="1"/>
  <c r="H121" i="1"/>
  <c r="F123" i="1" l="1"/>
  <c r="B124" i="1" l="1"/>
  <c r="C124" i="1" s="1"/>
  <c r="D124" i="1" s="1"/>
  <c r="H122" i="1"/>
  <c r="F124" i="1" l="1"/>
  <c r="B125" i="1" l="1"/>
  <c r="C125" i="1" s="1"/>
  <c r="D125" i="1" s="1"/>
  <c r="H123" i="1"/>
  <c r="F125" i="1" l="1"/>
  <c r="B126" i="1" l="1"/>
  <c r="C126" i="1" s="1"/>
  <c r="D126" i="1" s="1"/>
  <c r="H124" i="1"/>
  <c r="F126" i="1" l="1"/>
  <c r="B127" i="1" l="1"/>
  <c r="C127" i="1" s="1"/>
  <c r="D127" i="1" s="1"/>
  <c r="H125" i="1"/>
  <c r="F127" i="1" l="1"/>
  <c r="B128" i="1" l="1"/>
  <c r="C128" i="1" s="1"/>
  <c r="D128" i="1" s="1"/>
  <c r="H126" i="1"/>
  <c r="F128" i="1" l="1"/>
  <c r="B129" i="1" l="1"/>
  <c r="C129" i="1" s="1"/>
  <c r="D129" i="1" s="1"/>
  <c r="H127" i="1"/>
  <c r="F129" i="1" l="1"/>
  <c r="B130" i="1" l="1"/>
  <c r="C130" i="1" s="1"/>
  <c r="D130" i="1" s="1"/>
  <c r="H128" i="1"/>
  <c r="F130" i="1" l="1"/>
  <c r="B131" i="1" l="1"/>
  <c r="C131" i="1" s="1"/>
  <c r="D131" i="1" s="1"/>
  <c r="H129" i="1"/>
  <c r="F131" i="1" l="1"/>
  <c r="B132" i="1" l="1"/>
  <c r="C132" i="1" s="1"/>
  <c r="D132" i="1" s="1"/>
  <c r="H130" i="1"/>
  <c r="F132" i="1" l="1"/>
  <c r="B133" i="1" l="1"/>
  <c r="C133" i="1" s="1"/>
  <c r="D133" i="1" s="1"/>
  <c r="H131" i="1"/>
  <c r="F133" i="1" l="1"/>
  <c r="B134" i="1" l="1"/>
  <c r="C134" i="1" s="1"/>
  <c r="D134" i="1" s="1"/>
  <c r="H132" i="1"/>
  <c r="F134" i="1" l="1"/>
  <c r="B135" i="1" l="1"/>
  <c r="C135" i="1" s="1"/>
  <c r="D135" i="1" s="1"/>
  <c r="H133" i="1"/>
  <c r="F135" i="1" l="1"/>
  <c r="B136" i="1" l="1"/>
  <c r="C136" i="1" s="1"/>
  <c r="D136" i="1" s="1"/>
  <c r="H134" i="1"/>
  <c r="F136" i="1" l="1"/>
  <c r="B137" i="1" l="1"/>
  <c r="C137" i="1" s="1"/>
  <c r="D137" i="1" s="1"/>
  <c r="H135" i="1"/>
  <c r="F137" i="1" l="1"/>
  <c r="B138" i="1" l="1"/>
  <c r="C138" i="1" s="1"/>
  <c r="D138" i="1" s="1"/>
  <c r="H136" i="1"/>
  <c r="F138" i="1" l="1"/>
  <c r="B139" i="1" l="1"/>
  <c r="C139" i="1" s="1"/>
  <c r="D139" i="1" s="1"/>
  <c r="H137" i="1"/>
  <c r="F139" i="1" l="1"/>
  <c r="H138" i="1" l="1"/>
  <c r="B140" i="1"/>
  <c r="C140" i="1" s="1"/>
  <c r="D140" i="1" s="1"/>
  <c r="F140" i="1" l="1"/>
  <c r="B141" i="1" l="1"/>
  <c r="C141" i="1" s="1"/>
  <c r="D141" i="1" s="1"/>
  <c r="H139" i="1"/>
  <c r="F141" i="1" l="1"/>
  <c r="B142" i="1" l="1"/>
  <c r="C142" i="1" s="1"/>
  <c r="D142" i="1" s="1"/>
  <c r="H140" i="1"/>
  <c r="F142" i="1" l="1"/>
  <c r="B143" i="1" l="1"/>
  <c r="C143" i="1" s="1"/>
  <c r="D143" i="1" s="1"/>
  <c r="H141" i="1"/>
  <c r="F143" i="1" l="1"/>
  <c r="H142" i="1" l="1"/>
  <c r="B144" i="1"/>
  <c r="C144" i="1" s="1"/>
  <c r="D144" i="1" s="1"/>
  <c r="F144" i="1" l="1"/>
  <c r="B145" i="1" l="1"/>
  <c r="C145" i="1" s="1"/>
  <c r="D145" i="1" s="1"/>
  <c r="H143" i="1"/>
  <c r="F145" i="1" l="1"/>
  <c r="B146" i="1" l="1"/>
  <c r="C146" i="1" s="1"/>
  <c r="D146" i="1" s="1"/>
  <c r="H144" i="1"/>
  <c r="F146" i="1" l="1"/>
  <c r="B147" i="1" l="1"/>
  <c r="C147" i="1" s="1"/>
  <c r="D147" i="1" s="1"/>
  <c r="H145" i="1"/>
  <c r="F147" i="1" l="1"/>
  <c r="B148" i="1" l="1"/>
  <c r="C148" i="1" s="1"/>
  <c r="D148" i="1" s="1"/>
  <c r="H146" i="1"/>
  <c r="F148" i="1" l="1"/>
  <c r="B149" i="1" l="1"/>
  <c r="C149" i="1" s="1"/>
  <c r="D149" i="1" s="1"/>
  <c r="H147" i="1"/>
  <c r="F149" i="1" l="1"/>
  <c r="B150" i="1" l="1"/>
  <c r="C150" i="1" s="1"/>
  <c r="D150" i="1" s="1"/>
  <c r="H148" i="1"/>
  <c r="F150" i="1" l="1"/>
  <c r="B151" i="1" l="1"/>
  <c r="C151" i="1" s="1"/>
  <c r="D151" i="1" s="1"/>
  <c r="H149" i="1"/>
  <c r="F151" i="1" l="1"/>
  <c r="B152" i="1" l="1"/>
  <c r="C152" i="1" s="1"/>
  <c r="D152" i="1" s="1"/>
  <c r="H150" i="1"/>
  <c r="F152" i="1" l="1"/>
  <c r="B153" i="1" l="1"/>
  <c r="C153" i="1" s="1"/>
  <c r="D153" i="1" s="1"/>
  <c r="H151" i="1"/>
  <c r="F153" i="1" l="1"/>
  <c r="B154" i="1" l="1"/>
  <c r="C154" i="1" s="1"/>
  <c r="D154" i="1" s="1"/>
  <c r="H152" i="1"/>
  <c r="F154" i="1" l="1"/>
  <c r="B155" i="1" l="1"/>
  <c r="C155" i="1" s="1"/>
  <c r="D155" i="1" s="1"/>
  <c r="H153" i="1"/>
  <c r="F155" i="1" l="1"/>
  <c r="B156" i="1" l="1"/>
  <c r="C156" i="1" s="1"/>
  <c r="D156" i="1" s="1"/>
  <c r="H154" i="1"/>
  <c r="F156" i="1" l="1"/>
  <c r="B157" i="1" l="1"/>
  <c r="C157" i="1" s="1"/>
  <c r="D157" i="1" s="1"/>
  <c r="H155" i="1"/>
  <c r="F157" i="1" l="1"/>
  <c r="B158" i="1" l="1"/>
  <c r="C158" i="1" s="1"/>
  <c r="D158" i="1" s="1"/>
  <c r="H156" i="1"/>
  <c r="F158" i="1" l="1"/>
  <c r="B159" i="1" l="1"/>
  <c r="C159" i="1" s="1"/>
  <c r="D159" i="1" s="1"/>
  <c r="H157" i="1"/>
  <c r="F159" i="1" l="1"/>
  <c r="B160" i="1" l="1"/>
  <c r="C160" i="1" s="1"/>
  <c r="D160" i="1" s="1"/>
  <c r="H158" i="1"/>
  <c r="F160" i="1" l="1"/>
  <c r="B161" i="1" l="1"/>
  <c r="C161" i="1" s="1"/>
  <c r="D161" i="1" s="1"/>
  <c r="H159" i="1"/>
  <c r="F161" i="1" l="1"/>
  <c r="B162" i="1" l="1"/>
  <c r="C162" i="1" s="1"/>
  <c r="D162" i="1" s="1"/>
  <c r="H160" i="1"/>
  <c r="F162" i="1" l="1"/>
  <c r="B163" i="1" l="1"/>
  <c r="C163" i="1" s="1"/>
  <c r="D163" i="1" s="1"/>
  <c r="H161" i="1"/>
  <c r="F163" i="1" l="1"/>
  <c r="B164" i="1" l="1"/>
  <c r="C164" i="1" s="1"/>
  <c r="D164" i="1" s="1"/>
  <c r="H162" i="1"/>
  <c r="F164" i="1" l="1"/>
  <c r="B165" i="1" l="1"/>
  <c r="C165" i="1" s="1"/>
  <c r="D165" i="1" s="1"/>
  <c r="H163" i="1"/>
  <c r="F165" i="1" l="1"/>
  <c r="B166" i="1" l="1"/>
  <c r="C166" i="1" s="1"/>
  <c r="D166" i="1" s="1"/>
  <c r="F166" i="1" s="1"/>
  <c r="H164" i="1"/>
  <c r="B167" i="1" l="1"/>
  <c r="C167" i="1" s="1"/>
  <c r="D167" i="1" s="1"/>
  <c r="H165" i="1"/>
  <c r="F167" i="1" l="1"/>
  <c r="B168" i="1" l="1"/>
  <c r="C168" i="1" s="1"/>
  <c r="D168" i="1" s="1"/>
  <c r="H166" i="1"/>
  <c r="F168" i="1" l="1"/>
  <c r="B169" i="1" l="1"/>
  <c r="C169" i="1" s="1"/>
  <c r="D169" i="1" s="1"/>
  <c r="H167" i="1"/>
  <c r="F169" i="1" l="1"/>
  <c r="B170" i="1" l="1"/>
  <c r="C170" i="1" s="1"/>
  <c r="D170" i="1" s="1"/>
  <c r="F170" i="1" s="1"/>
  <c r="H168" i="1"/>
  <c r="B171" i="1" l="1"/>
  <c r="C171" i="1" s="1"/>
  <c r="D171" i="1" s="1"/>
  <c r="H169" i="1"/>
  <c r="F171" i="1" l="1"/>
  <c r="B172" i="1" l="1"/>
  <c r="C172" i="1" s="1"/>
  <c r="D172" i="1" s="1"/>
  <c r="H170" i="1"/>
  <c r="F172" i="1" l="1"/>
  <c r="B173" i="1" l="1"/>
  <c r="C173" i="1" s="1"/>
  <c r="D173" i="1" s="1"/>
  <c r="H171" i="1"/>
  <c r="F173" i="1" l="1"/>
  <c r="B174" i="1" l="1"/>
  <c r="C174" i="1" s="1"/>
  <c r="D174" i="1" s="1"/>
  <c r="H172" i="1"/>
  <c r="F174" i="1" l="1"/>
  <c r="B175" i="1" l="1"/>
  <c r="C175" i="1" s="1"/>
  <c r="D175" i="1" s="1"/>
  <c r="H173" i="1"/>
  <c r="F175" i="1" l="1"/>
  <c r="B176" i="1" l="1"/>
  <c r="C176" i="1" s="1"/>
  <c r="D176" i="1" s="1"/>
  <c r="H174" i="1"/>
  <c r="F176" i="1" l="1"/>
  <c r="B177" i="1" l="1"/>
  <c r="C177" i="1" s="1"/>
  <c r="D177" i="1" s="1"/>
  <c r="H175" i="1"/>
  <c r="F177" i="1" l="1"/>
  <c r="B178" i="1" l="1"/>
  <c r="C178" i="1" s="1"/>
  <c r="D178" i="1" s="1"/>
  <c r="H176" i="1"/>
  <c r="F178" i="1" l="1"/>
  <c r="B179" i="1" l="1"/>
  <c r="C179" i="1" s="1"/>
  <c r="D179" i="1" s="1"/>
  <c r="H177" i="1"/>
  <c r="F179" i="1" l="1"/>
  <c r="B180" i="1" s="1"/>
  <c r="H178" i="1" l="1"/>
  <c r="C180" i="1"/>
  <c r="D180" i="1" s="1"/>
  <c r="F180" i="1" l="1"/>
  <c r="B181" i="1" l="1"/>
  <c r="C181" i="1" s="1"/>
  <c r="D181" i="1" s="1"/>
  <c r="H179" i="1"/>
  <c r="F181" i="1" l="1"/>
  <c r="B182" i="1" l="1"/>
  <c r="C182" i="1" s="1"/>
  <c r="D182" i="1" s="1"/>
  <c r="H180" i="1"/>
  <c r="F182" i="1" l="1"/>
  <c r="B183" i="1" l="1"/>
  <c r="C183" i="1" s="1"/>
  <c r="D183" i="1" s="1"/>
  <c r="H181" i="1"/>
  <c r="F183" i="1" l="1"/>
  <c r="B184" i="1" l="1"/>
  <c r="C184" i="1" s="1"/>
  <c r="D184" i="1" s="1"/>
  <c r="H182" i="1"/>
  <c r="F184" i="1" l="1"/>
  <c r="B185" i="1" l="1"/>
  <c r="C185" i="1" s="1"/>
  <c r="D185" i="1" s="1"/>
  <c r="H183" i="1"/>
  <c r="F185" i="1" l="1"/>
  <c r="B186" i="1" l="1"/>
  <c r="C186" i="1" s="1"/>
  <c r="D186" i="1" s="1"/>
  <c r="H184" i="1"/>
  <c r="F186" i="1" l="1"/>
  <c r="B187" i="1" l="1"/>
  <c r="C187" i="1" s="1"/>
  <c r="D187" i="1" s="1"/>
  <c r="H185" i="1"/>
  <c r="F187" i="1" l="1"/>
  <c r="B188" i="1" l="1"/>
  <c r="C188" i="1" s="1"/>
  <c r="D188" i="1" s="1"/>
  <c r="H186" i="1"/>
  <c r="F188" i="1" l="1"/>
  <c r="B189" i="1" l="1"/>
  <c r="C189" i="1" s="1"/>
  <c r="D189" i="1" s="1"/>
  <c r="H187" i="1"/>
  <c r="F189" i="1" l="1"/>
  <c r="B190" i="1" l="1"/>
  <c r="C190" i="1" s="1"/>
  <c r="D190" i="1" s="1"/>
  <c r="H188" i="1"/>
  <c r="F190" i="1" l="1"/>
  <c r="B191" i="1" l="1"/>
  <c r="C191" i="1" s="1"/>
  <c r="D191" i="1" s="1"/>
  <c r="H189" i="1"/>
  <c r="F191" i="1" l="1"/>
  <c r="B192" i="1" l="1"/>
  <c r="C192" i="1" s="1"/>
  <c r="D192" i="1" s="1"/>
  <c r="H190" i="1"/>
  <c r="F192" i="1" l="1"/>
  <c r="B193" i="1" l="1"/>
  <c r="C193" i="1" s="1"/>
  <c r="D193" i="1" s="1"/>
  <c r="H191" i="1"/>
  <c r="F193" i="1" l="1"/>
  <c r="B194" i="1" l="1"/>
  <c r="C194" i="1" s="1"/>
  <c r="D194" i="1" s="1"/>
  <c r="H192" i="1"/>
  <c r="F194" i="1" l="1"/>
  <c r="B195" i="1" l="1"/>
  <c r="C195" i="1" s="1"/>
  <c r="D195" i="1" s="1"/>
  <c r="H193" i="1"/>
  <c r="F195" i="1" l="1"/>
  <c r="B196" i="1" l="1"/>
  <c r="C196" i="1" s="1"/>
  <c r="D196" i="1" s="1"/>
  <c r="H194" i="1"/>
  <c r="F196" i="1" l="1"/>
  <c r="B197" i="1" l="1"/>
  <c r="C197" i="1" s="1"/>
  <c r="D197" i="1" s="1"/>
  <c r="H195" i="1"/>
  <c r="F197" i="1" l="1"/>
  <c r="B198" i="1" l="1"/>
  <c r="C198" i="1" s="1"/>
  <c r="D198" i="1" s="1"/>
  <c r="H196" i="1"/>
  <c r="F198" i="1" l="1"/>
  <c r="B199" i="1" l="1"/>
  <c r="C199" i="1" s="1"/>
  <c r="D199" i="1" s="1"/>
  <c r="H197" i="1"/>
  <c r="F199" i="1" l="1"/>
  <c r="B200" i="1" l="1"/>
  <c r="C200" i="1" s="1"/>
  <c r="D200" i="1" s="1"/>
  <c r="F200" i="1" s="1"/>
  <c r="H198" i="1"/>
  <c r="B201" i="1" l="1"/>
  <c r="C201" i="1" s="1"/>
  <c r="D201" i="1" s="1"/>
  <c r="H199" i="1"/>
  <c r="F201" i="1" l="1"/>
  <c r="B202" i="1" l="1"/>
  <c r="C202" i="1" s="1"/>
  <c r="D202" i="1" s="1"/>
  <c r="H200" i="1"/>
  <c r="F202" i="1" l="1"/>
  <c r="B203" i="1" l="1"/>
  <c r="C203" i="1" s="1"/>
  <c r="D203" i="1" s="1"/>
  <c r="F203" i="1" s="1"/>
  <c r="H201" i="1"/>
  <c r="B204" i="1" l="1"/>
  <c r="C204" i="1" s="1"/>
  <c r="D204" i="1" s="1"/>
  <c r="F204" i="1" s="1"/>
  <c r="H202" i="1"/>
  <c r="B205" i="1" l="1"/>
  <c r="C205" i="1" s="1"/>
  <c r="D205" i="1" s="1"/>
  <c r="H203" i="1"/>
  <c r="F205" i="1" l="1"/>
  <c r="B206" i="1" l="1"/>
  <c r="C206" i="1" s="1"/>
  <c r="D206" i="1" s="1"/>
  <c r="H204" i="1"/>
  <c r="F206" i="1" l="1"/>
  <c r="H205" i="1" s="1"/>
  <c r="B207" i="1" l="1"/>
  <c r="C207" i="1" s="1"/>
  <c r="D207" i="1" s="1"/>
  <c r="F207" i="1" l="1"/>
  <c r="B208" i="1" l="1"/>
  <c r="C208" i="1" s="1"/>
  <c r="D208" i="1" s="1"/>
  <c r="H206" i="1"/>
  <c r="F208" i="1" l="1"/>
  <c r="B209" i="1" l="1"/>
  <c r="C209" i="1" s="1"/>
  <c r="D209" i="1" s="1"/>
  <c r="H207" i="1"/>
  <c r="F209" i="1" l="1"/>
  <c r="B210" i="1" l="1"/>
  <c r="C210" i="1" s="1"/>
  <c r="D210" i="1" s="1"/>
  <c r="H208" i="1"/>
  <c r="F210" i="1" l="1"/>
  <c r="B211" i="1" l="1"/>
  <c r="C211" i="1" s="1"/>
  <c r="D211" i="1" s="1"/>
  <c r="H209" i="1"/>
  <c r="F211" i="1" l="1"/>
  <c r="B212" i="1" l="1"/>
  <c r="C212" i="1" s="1"/>
  <c r="D212" i="1" s="1"/>
  <c r="H210" i="1"/>
  <c r="F212" i="1" l="1"/>
  <c r="B213" i="1" l="1"/>
  <c r="C213" i="1" s="1"/>
  <c r="D213" i="1" s="1"/>
  <c r="H211" i="1"/>
  <c r="F213" i="1" l="1"/>
  <c r="B214" i="1" l="1"/>
  <c r="C214" i="1" s="1"/>
  <c r="D214" i="1" s="1"/>
  <c r="H212" i="1"/>
  <c r="F214" i="1" l="1"/>
  <c r="B215" i="1" l="1"/>
  <c r="C215" i="1" s="1"/>
  <c r="D215" i="1" s="1"/>
  <c r="H213" i="1"/>
  <c r="F215" i="1" l="1"/>
  <c r="B216" i="1" l="1"/>
  <c r="C216" i="1" s="1"/>
  <c r="D216" i="1" s="1"/>
  <c r="H214" i="1"/>
  <c r="F216" i="1" l="1"/>
  <c r="B217" i="1" l="1"/>
  <c r="C217" i="1" s="1"/>
  <c r="D217" i="1" s="1"/>
  <c r="H215" i="1"/>
  <c r="F217" i="1" l="1"/>
  <c r="B218" i="1" l="1"/>
  <c r="C218" i="1" s="1"/>
  <c r="D218" i="1" s="1"/>
  <c r="H216" i="1"/>
  <c r="F218" i="1" l="1"/>
  <c r="B219" i="1" l="1"/>
  <c r="C219" i="1" s="1"/>
  <c r="D219" i="1" s="1"/>
  <c r="H217" i="1"/>
  <c r="F219" i="1" l="1"/>
  <c r="B220" i="1" l="1"/>
  <c r="C220" i="1" s="1"/>
  <c r="D220" i="1" s="1"/>
  <c r="H218" i="1"/>
  <c r="F220" i="1" l="1"/>
  <c r="B221" i="1" l="1"/>
  <c r="C221" i="1" s="1"/>
  <c r="D221" i="1" s="1"/>
  <c r="H219" i="1"/>
  <c r="F221" i="1" l="1"/>
  <c r="B222" i="1" l="1"/>
  <c r="C222" i="1" s="1"/>
  <c r="D222" i="1" s="1"/>
  <c r="H220" i="1"/>
  <c r="F222" i="1" l="1"/>
  <c r="B223" i="1" l="1"/>
  <c r="C223" i="1" s="1"/>
  <c r="D223" i="1" s="1"/>
  <c r="H221" i="1"/>
  <c r="F223" i="1" l="1"/>
  <c r="B224" i="1" l="1"/>
  <c r="C224" i="1" s="1"/>
  <c r="D224" i="1" s="1"/>
  <c r="H222" i="1"/>
  <c r="F224" i="1" l="1"/>
  <c r="B225" i="1" l="1"/>
  <c r="C225" i="1" s="1"/>
  <c r="D225" i="1" s="1"/>
  <c r="H223" i="1"/>
  <c r="F225" i="1" l="1"/>
  <c r="B226" i="1" l="1"/>
  <c r="C226" i="1" s="1"/>
  <c r="D226" i="1" s="1"/>
  <c r="H224" i="1"/>
  <c r="F226" i="1" l="1"/>
  <c r="B227" i="1" l="1"/>
  <c r="C227" i="1" s="1"/>
  <c r="D227" i="1" s="1"/>
  <c r="H225" i="1"/>
  <c r="F227" i="1" l="1"/>
  <c r="B228" i="1" l="1"/>
  <c r="C228" i="1" s="1"/>
  <c r="D228" i="1" s="1"/>
  <c r="H226" i="1"/>
  <c r="F228" i="1" l="1"/>
  <c r="B229" i="1" l="1"/>
  <c r="C229" i="1" s="1"/>
  <c r="D229" i="1" s="1"/>
  <c r="H227" i="1"/>
  <c r="F229" i="1" l="1"/>
  <c r="B230" i="1" l="1"/>
  <c r="C230" i="1" s="1"/>
  <c r="D230" i="1" s="1"/>
  <c r="H228" i="1"/>
  <c r="F230" i="1" l="1"/>
  <c r="B231" i="1" l="1"/>
  <c r="C231" i="1" s="1"/>
  <c r="D231" i="1" s="1"/>
  <c r="H229" i="1"/>
  <c r="F231" i="1" l="1"/>
  <c r="B232" i="1" l="1"/>
  <c r="C232" i="1" s="1"/>
  <c r="D232" i="1" s="1"/>
  <c r="H230" i="1"/>
  <c r="F232" i="1" l="1"/>
  <c r="B233" i="1" l="1"/>
  <c r="C233" i="1" s="1"/>
  <c r="D233" i="1" s="1"/>
  <c r="H231" i="1"/>
  <c r="F233" i="1" l="1"/>
  <c r="B234" i="1" l="1"/>
  <c r="C234" i="1" s="1"/>
  <c r="D234" i="1" s="1"/>
  <c r="F234" i="1" s="1"/>
  <c r="H232" i="1"/>
  <c r="H233" i="1" l="1"/>
  <c r="B235" i="1"/>
  <c r="C235" i="1" l="1"/>
  <c r="D235" i="1" s="1"/>
  <c r="F235" i="1" l="1"/>
  <c r="B236" i="1" l="1"/>
  <c r="C236" i="1" s="1"/>
  <c r="D236" i="1" s="1"/>
  <c r="H234" i="1"/>
  <c r="F236" i="1" l="1"/>
  <c r="B237" i="1" l="1"/>
  <c r="C237" i="1" s="1"/>
  <c r="D237" i="1" s="1"/>
  <c r="H235" i="1"/>
  <c r="F237" i="1" l="1"/>
  <c r="B238" i="1" l="1"/>
  <c r="C238" i="1" s="1"/>
  <c r="D238" i="1" s="1"/>
  <c r="H236" i="1"/>
  <c r="F238" i="1" l="1"/>
  <c r="B239" i="1" l="1"/>
  <c r="C239" i="1" s="1"/>
  <c r="D239" i="1" s="1"/>
  <c r="H237" i="1"/>
  <c r="F239" i="1" l="1"/>
  <c r="B240" i="1" l="1"/>
  <c r="C240" i="1" s="1"/>
  <c r="D240" i="1" s="1"/>
  <c r="H238" i="1"/>
  <c r="F240" i="1" l="1"/>
  <c r="B241" i="1" l="1"/>
  <c r="C241" i="1" s="1"/>
  <c r="D241" i="1" s="1"/>
  <c r="H239" i="1"/>
  <c r="F241" i="1" l="1"/>
  <c r="B242" i="1" l="1"/>
  <c r="C242" i="1" s="1"/>
  <c r="D242" i="1" s="1"/>
  <c r="H240" i="1"/>
  <c r="F242" i="1" l="1"/>
  <c r="B243" i="1" l="1"/>
  <c r="C243" i="1" s="1"/>
  <c r="D243" i="1" s="1"/>
  <c r="H241" i="1"/>
  <c r="F243" i="1" l="1"/>
  <c r="B244" i="1" l="1"/>
  <c r="C244" i="1" s="1"/>
  <c r="D244" i="1" s="1"/>
  <c r="H242" i="1"/>
  <c r="F244" i="1" l="1"/>
  <c r="B245" i="1" l="1"/>
  <c r="C245" i="1" s="1"/>
  <c r="D245" i="1" s="1"/>
  <c r="H243" i="1"/>
  <c r="F245" i="1" l="1"/>
  <c r="H244" i="1" s="1"/>
  <c r="B246" i="1" l="1"/>
  <c r="C246" i="1" s="1"/>
  <c r="D246" i="1" s="1"/>
  <c r="F246" i="1" l="1"/>
  <c r="B247" i="1" l="1"/>
  <c r="C247" i="1" s="1"/>
  <c r="D247" i="1" s="1"/>
  <c r="H245" i="1"/>
  <c r="F247" i="1" l="1"/>
  <c r="B248" i="1" s="1"/>
  <c r="H246" i="1" l="1"/>
  <c r="C248" i="1"/>
  <c r="D248" i="1" s="1"/>
  <c r="F248" i="1" l="1"/>
  <c r="B249" i="1" s="1"/>
  <c r="H247" i="1" l="1"/>
  <c r="C249" i="1"/>
  <c r="D249" i="1" s="1"/>
  <c r="F249" i="1" l="1"/>
  <c r="B250" i="1" l="1"/>
  <c r="C250" i="1" s="1"/>
  <c r="D250" i="1" s="1"/>
  <c r="H248" i="1"/>
  <c r="F250" i="1" l="1"/>
  <c r="B251" i="1" l="1"/>
  <c r="C251" i="1" s="1"/>
  <c r="D251" i="1" s="1"/>
  <c r="H249" i="1"/>
  <c r="F251" i="1" l="1"/>
  <c r="B252" i="1" l="1"/>
  <c r="C252" i="1" s="1"/>
  <c r="D252" i="1" s="1"/>
  <c r="H250" i="1"/>
  <c r="F252" i="1" l="1"/>
  <c r="B253" i="1" l="1"/>
  <c r="C253" i="1" s="1"/>
  <c r="D253" i="1" s="1"/>
  <c r="H251" i="1"/>
  <c r="F253" i="1" l="1"/>
  <c r="B254" i="1" l="1"/>
  <c r="C254" i="1" s="1"/>
  <c r="D254" i="1" s="1"/>
  <c r="H252" i="1"/>
  <c r="F254" i="1" l="1"/>
  <c r="B255" i="1" l="1"/>
  <c r="C255" i="1" s="1"/>
  <c r="D255" i="1" s="1"/>
  <c r="H253" i="1"/>
  <c r="F255" i="1" l="1"/>
  <c r="B256" i="1" l="1"/>
  <c r="C256" i="1" s="1"/>
  <c r="D256" i="1" s="1"/>
  <c r="H254" i="1"/>
  <c r="F256" i="1" l="1"/>
  <c r="B257" i="1" s="1"/>
  <c r="H255" i="1" l="1"/>
  <c r="C257" i="1"/>
  <c r="D257" i="1" s="1"/>
  <c r="F257" i="1" l="1"/>
  <c r="B258" i="1" l="1"/>
  <c r="C258" i="1" s="1"/>
  <c r="D258" i="1" s="1"/>
  <c r="H256" i="1"/>
  <c r="F258" i="1" l="1"/>
  <c r="B259" i="1" l="1"/>
  <c r="C259" i="1" s="1"/>
  <c r="D259" i="1" s="1"/>
  <c r="H257" i="1"/>
  <c r="F259" i="1" l="1"/>
  <c r="B260" i="1" l="1"/>
  <c r="C260" i="1" s="1"/>
  <c r="D260" i="1" s="1"/>
  <c r="H258" i="1"/>
  <c r="F260" i="1" l="1"/>
  <c r="B261" i="1" l="1"/>
  <c r="C261" i="1" s="1"/>
  <c r="D261" i="1" s="1"/>
  <c r="H259" i="1"/>
  <c r="F261" i="1" l="1"/>
  <c r="B262" i="1" l="1"/>
  <c r="C262" i="1" s="1"/>
  <c r="D262" i="1" s="1"/>
  <c r="H260" i="1"/>
  <c r="F262" i="1" l="1"/>
  <c r="B263" i="1" l="1"/>
  <c r="C263" i="1" s="1"/>
  <c r="D263" i="1" s="1"/>
  <c r="H261" i="1"/>
  <c r="F263" i="1" l="1"/>
  <c r="B264" i="1" l="1"/>
  <c r="C264" i="1" s="1"/>
  <c r="D264" i="1" s="1"/>
  <c r="H262" i="1"/>
  <c r="F264" i="1" l="1"/>
  <c r="B265" i="1" l="1"/>
  <c r="C265" i="1" s="1"/>
  <c r="D265" i="1" s="1"/>
  <c r="H263" i="1"/>
  <c r="F265" i="1" l="1"/>
  <c r="B266" i="1" l="1"/>
  <c r="C266" i="1" s="1"/>
  <c r="D266" i="1" s="1"/>
  <c r="F266" i="1" s="1"/>
  <c r="H264" i="1"/>
  <c r="H265" i="1" l="1"/>
  <c r="B267" i="1"/>
  <c r="C267" i="1" l="1"/>
  <c r="D267" i="1" s="1"/>
  <c r="F267" i="1" l="1"/>
  <c r="B268" i="1" l="1"/>
  <c r="C268" i="1" s="1"/>
  <c r="D268" i="1" s="1"/>
  <c r="H266" i="1"/>
  <c r="F268" i="1" l="1"/>
  <c r="B269" i="1" l="1"/>
  <c r="C269" i="1" s="1"/>
  <c r="D269" i="1" s="1"/>
  <c r="H267" i="1"/>
  <c r="F269" i="1" l="1"/>
  <c r="B270" i="1" l="1"/>
  <c r="C270" i="1" s="1"/>
  <c r="D270" i="1" s="1"/>
  <c r="H268" i="1"/>
  <c r="F270" i="1" l="1"/>
  <c r="B271" i="1" l="1"/>
  <c r="C271" i="1" s="1"/>
  <c r="D271" i="1" s="1"/>
  <c r="H269" i="1"/>
  <c r="F271" i="1" l="1"/>
  <c r="B272" i="1" l="1"/>
  <c r="C272" i="1" s="1"/>
  <c r="D272" i="1" s="1"/>
  <c r="H270" i="1"/>
  <c r="F272" i="1" l="1"/>
  <c r="B273" i="1" l="1"/>
  <c r="C273" i="1" s="1"/>
  <c r="D273" i="1" s="1"/>
  <c r="H271" i="1"/>
  <c r="F273" i="1" l="1"/>
  <c r="B274" i="1" l="1"/>
  <c r="C274" i="1" s="1"/>
  <c r="D274" i="1" s="1"/>
  <c r="H272" i="1"/>
  <c r="F274" i="1" l="1"/>
  <c r="B275" i="1" l="1"/>
  <c r="C275" i="1" s="1"/>
  <c r="D275" i="1" s="1"/>
  <c r="H273" i="1"/>
  <c r="F275" i="1" l="1"/>
  <c r="B276" i="1" l="1"/>
  <c r="C276" i="1" s="1"/>
  <c r="D276" i="1" s="1"/>
  <c r="H274" i="1"/>
  <c r="F276" i="1" l="1"/>
  <c r="B277" i="1" l="1"/>
  <c r="C277" i="1" s="1"/>
  <c r="D277" i="1" s="1"/>
  <c r="H275" i="1"/>
  <c r="F277" i="1" l="1"/>
  <c r="B278" i="1" l="1"/>
  <c r="C278" i="1" s="1"/>
  <c r="D278" i="1" s="1"/>
  <c r="H276" i="1"/>
  <c r="F278" i="1" l="1"/>
  <c r="B279" i="1" l="1"/>
  <c r="C279" i="1" s="1"/>
  <c r="D279" i="1" s="1"/>
  <c r="H277" i="1"/>
  <c r="F279" i="1" l="1"/>
  <c r="B280" i="1" l="1"/>
  <c r="C280" i="1" s="1"/>
  <c r="D280" i="1" s="1"/>
  <c r="H278" i="1"/>
  <c r="F280" i="1" l="1"/>
  <c r="H279" i="1" l="1"/>
  <c r="B281" i="1"/>
  <c r="C281" i="1" s="1"/>
  <c r="D281" i="1" s="1"/>
  <c r="F281" i="1" l="1"/>
  <c r="B282" i="1" l="1"/>
  <c r="C282" i="1" s="1"/>
  <c r="D282" i="1" s="1"/>
  <c r="H280" i="1"/>
  <c r="F282" i="1" l="1"/>
  <c r="B283" i="1" l="1"/>
  <c r="C283" i="1" s="1"/>
  <c r="D283" i="1" s="1"/>
  <c r="H281" i="1"/>
  <c r="F283" i="1" l="1"/>
  <c r="B284" i="1" l="1"/>
  <c r="C284" i="1" s="1"/>
  <c r="D284" i="1" s="1"/>
  <c r="H282" i="1"/>
  <c r="F284" i="1" l="1"/>
  <c r="B285" i="1" s="1"/>
  <c r="H283" i="1" l="1"/>
  <c r="C285" i="1"/>
  <c r="D285" i="1" s="1"/>
  <c r="F285" i="1" l="1"/>
  <c r="H284" i="1" l="1"/>
  <c r="B286" i="1"/>
  <c r="C286" i="1" s="1"/>
  <c r="D286" i="1" s="1"/>
  <c r="F286" i="1" l="1"/>
  <c r="H285" i="1" l="1"/>
  <c r="B287" i="1"/>
  <c r="C287" i="1" s="1"/>
  <c r="D287" i="1" s="1"/>
  <c r="F287" i="1" l="1"/>
  <c r="B288" i="1" l="1"/>
  <c r="C288" i="1" s="1"/>
  <c r="D288" i="1" s="1"/>
  <c r="H286" i="1"/>
  <c r="F288" i="1" l="1"/>
  <c r="B289" i="1" l="1"/>
  <c r="H287" i="1"/>
  <c r="C289" i="1" l="1"/>
  <c r="D289" i="1" s="1"/>
  <c r="F289" i="1" s="1"/>
  <c r="H288" i="1" l="1"/>
  <c r="B290" i="1"/>
  <c r="C290" i="1" s="1"/>
  <c r="D290" i="1" s="1"/>
  <c r="F290" i="1" l="1"/>
  <c r="B291" i="1" l="1"/>
  <c r="C291" i="1" s="1"/>
  <c r="D291" i="1" s="1"/>
  <c r="H289" i="1"/>
  <c r="F291" i="1" l="1"/>
  <c r="B292" i="1" l="1"/>
  <c r="C292" i="1" s="1"/>
  <c r="D292" i="1" s="1"/>
  <c r="H290" i="1"/>
  <c r="F292" i="1" l="1"/>
  <c r="B293" i="1" l="1"/>
  <c r="C293" i="1" s="1"/>
  <c r="D293" i="1" s="1"/>
  <c r="H291" i="1"/>
  <c r="F293" i="1" l="1"/>
  <c r="B294" i="1" l="1"/>
  <c r="C294" i="1" s="1"/>
  <c r="D294" i="1" s="1"/>
  <c r="H292" i="1"/>
  <c r="F294" i="1" l="1"/>
  <c r="B295" i="1" l="1"/>
  <c r="C295" i="1" s="1"/>
  <c r="D295" i="1" s="1"/>
  <c r="H293" i="1"/>
  <c r="F295" i="1" l="1"/>
  <c r="B296" i="1" l="1"/>
  <c r="C296" i="1" s="1"/>
  <c r="D296" i="1" s="1"/>
  <c r="H294" i="1"/>
  <c r="F296" i="1" l="1"/>
  <c r="B297" i="1" l="1"/>
  <c r="C297" i="1" s="1"/>
  <c r="D297" i="1" s="1"/>
  <c r="H295" i="1"/>
  <c r="F297" i="1" l="1"/>
  <c r="B298" i="1" l="1"/>
  <c r="C298" i="1" s="1"/>
  <c r="D298" i="1" s="1"/>
  <c r="H296" i="1"/>
  <c r="F298" i="1" l="1"/>
  <c r="B299" i="1" l="1"/>
  <c r="C299" i="1" s="1"/>
  <c r="D299" i="1" s="1"/>
  <c r="H297" i="1"/>
  <c r="F299" i="1" l="1"/>
  <c r="B300" i="1" l="1"/>
  <c r="C300" i="1" s="1"/>
  <c r="D300" i="1" s="1"/>
  <c r="H298" i="1"/>
  <c r="F300" i="1" l="1"/>
  <c r="B301" i="1" l="1"/>
  <c r="C301" i="1" s="1"/>
  <c r="D301" i="1" s="1"/>
  <c r="H299" i="1"/>
  <c r="F301" i="1" l="1"/>
  <c r="B302" i="1" l="1"/>
  <c r="C302" i="1" s="1"/>
  <c r="D302" i="1" s="1"/>
  <c r="H300" i="1"/>
  <c r="F302" i="1" l="1"/>
  <c r="B303" i="1" l="1"/>
  <c r="C303" i="1" s="1"/>
  <c r="D303" i="1" s="1"/>
  <c r="H301" i="1"/>
  <c r="F303" i="1" l="1"/>
  <c r="B304" i="1" l="1"/>
  <c r="C304" i="1" s="1"/>
  <c r="D304" i="1" s="1"/>
  <c r="H302" i="1"/>
  <c r="F304" i="1" l="1"/>
  <c r="B305" i="1" l="1"/>
  <c r="C305" i="1" s="1"/>
  <c r="D305" i="1" s="1"/>
  <c r="H303" i="1"/>
  <c r="F305" i="1" l="1"/>
  <c r="B306" i="1" l="1"/>
  <c r="C306" i="1" s="1"/>
  <c r="D306" i="1" s="1"/>
  <c r="H304" i="1"/>
  <c r="F306" i="1" l="1"/>
  <c r="B307" i="1" l="1"/>
  <c r="C307" i="1" s="1"/>
  <c r="D307" i="1" s="1"/>
  <c r="H305" i="1"/>
  <c r="F307" i="1" l="1"/>
  <c r="B308" i="1" l="1"/>
  <c r="C308" i="1" s="1"/>
  <c r="D308" i="1" s="1"/>
  <c r="H306" i="1"/>
  <c r="F308" i="1" l="1"/>
  <c r="B309" i="1" l="1"/>
  <c r="C309" i="1" s="1"/>
  <c r="D309" i="1" s="1"/>
  <c r="H307" i="1"/>
  <c r="F309" i="1" l="1"/>
  <c r="B310" i="1" l="1"/>
  <c r="C310" i="1" s="1"/>
  <c r="D310" i="1" s="1"/>
  <c r="F310" i="1" s="1"/>
  <c r="H308" i="1"/>
  <c r="H309" i="1" l="1"/>
  <c r="B311" i="1"/>
  <c r="C311" i="1" l="1"/>
  <c r="D311" i="1" s="1"/>
  <c r="F311" i="1" s="1"/>
  <c r="H310" i="1" l="1"/>
  <c r="B312" i="1"/>
  <c r="C312" i="1" l="1"/>
  <c r="D312" i="1" s="1"/>
  <c r="F312" i="1" s="1"/>
  <c r="H311" i="1" l="1"/>
  <c r="B313" i="1"/>
  <c r="C313" i="1" l="1"/>
  <c r="D313" i="1" s="1"/>
  <c r="F313" i="1" s="1"/>
  <c r="H312" i="1" l="1"/>
  <c r="B314" i="1"/>
  <c r="C314" i="1" l="1"/>
  <c r="D314" i="1" s="1"/>
  <c r="F314" i="1" s="1"/>
  <c r="H313" i="1" l="1"/>
  <c r="B315" i="1"/>
  <c r="C315" i="1" l="1"/>
  <c r="D315" i="1" s="1"/>
  <c r="F315" i="1" s="1"/>
  <c r="B316" i="1" l="1"/>
  <c r="C316" i="1" s="1"/>
  <c r="D316" i="1" s="1"/>
  <c r="F316" i="1" s="1"/>
  <c r="H314" i="1"/>
  <c r="H315" i="1" l="1"/>
  <c r="B317" i="1"/>
  <c r="C317" i="1" l="1"/>
  <c r="D317" i="1" s="1"/>
  <c r="F317" i="1" s="1"/>
  <c r="H316" i="1" l="1"/>
  <c r="B318" i="1"/>
  <c r="C318" i="1" l="1"/>
  <c r="D318" i="1" s="1"/>
  <c r="F318" i="1" s="1"/>
  <c r="H317" i="1" l="1"/>
  <c r="B319" i="1"/>
  <c r="C319" i="1" l="1"/>
  <c r="D319" i="1" s="1"/>
  <c r="F319" i="1" s="1"/>
  <c r="H318" i="1" l="1"/>
  <c r="B320" i="1"/>
  <c r="C320" i="1" l="1"/>
  <c r="D320" i="1" s="1"/>
  <c r="F320" i="1" s="1"/>
  <c r="H319" i="1" l="1"/>
  <c r="B321" i="1"/>
  <c r="C321" i="1" l="1"/>
  <c r="D321" i="1" s="1"/>
  <c r="F321" i="1" s="1"/>
  <c r="H320" i="1" l="1"/>
  <c r="B322" i="1"/>
  <c r="C322" i="1" l="1"/>
  <c r="D322" i="1" s="1"/>
  <c r="F322" i="1" s="1"/>
  <c r="H321" i="1" l="1"/>
  <c r="B323" i="1"/>
  <c r="C323" i="1" l="1"/>
  <c r="D323" i="1" s="1"/>
  <c r="F323" i="1" s="1"/>
  <c r="B324" i="1" l="1"/>
  <c r="C324" i="1" s="1"/>
  <c r="D324" i="1" s="1"/>
  <c r="F324" i="1" s="1"/>
  <c r="H322" i="1"/>
  <c r="H323" i="1" l="1"/>
  <c r="B325" i="1"/>
  <c r="C325" i="1" l="1"/>
  <c r="D325" i="1" s="1"/>
  <c r="F325" i="1" s="1"/>
  <c r="H324" i="1" l="1"/>
  <c r="B326" i="1"/>
  <c r="C326" i="1" l="1"/>
  <c r="D326" i="1" s="1"/>
  <c r="F326" i="1" s="1"/>
  <c r="H325" i="1" l="1"/>
  <c r="B327" i="1"/>
  <c r="C327" i="1" l="1"/>
  <c r="D327" i="1" s="1"/>
  <c r="F327" i="1" l="1"/>
  <c r="B328" i="1" l="1"/>
  <c r="C328" i="1" s="1"/>
  <c r="D328" i="1" s="1"/>
  <c r="F328" i="1" s="1"/>
  <c r="H326" i="1"/>
  <c r="H327" i="1" l="1"/>
  <c r="B329" i="1"/>
  <c r="C329" i="1" l="1"/>
  <c r="D329" i="1" s="1"/>
  <c r="F329" i="1" s="1"/>
  <c r="B330" i="1" l="1"/>
  <c r="C330" i="1" s="1"/>
  <c r="D330" i="1" s="1"/>
  <c r="F330" i="1" s="1"/>
  <c r="H328" i="1"/>
  <c r="H329" i="1" l="1"/>
  <c r="B331" i="1"/>
  <c r="C331" i="1" l="1"/>
  <c r="D331" i="1" s="1"/>
  <c r="F331" i="1" s="1"/>
  <c r="B332" i="1" l="1"/>
  <c r="C332" i="1" s="1"/>
  <c r="D332" i="1" s="1"/>
  <c r="F332" i="1" s="1"/>
  <c r="H330" i="1"/>
  <c r="H331" i="1" l="1"/>
  <c r="B333" i="1"/>
  <c r="C333" i="1" l="1"/>
  <c r="D333" i="1" s="1"/>
  <c r="F333" i="1" s="1"/>
  <c r="H332" i="1" l="1"/>
  <c r="B334" i="1"/>
  <c r="C334" i="1" l="1"/>
  <c r="D334" i="1" s="1"/>
  <c r="F334" i="1" s="1"/>
  <c r="H333" i="1" l="1"/>
  <c r="B335" i="1"/>
  <c r="C335" i="1" l="1"/>
  <c r="D335" i="1" s="1"/>
  <c r="F335" i="1" s="1"/>
  <c r="H334" i="1" l="1"/>
  <c r="B336" i="1"/>
  <c r="C336" i="1" l="1"/>
  <c r="D336" i="1" s="1"/>
  <c r="F336" i="1" l="1"/>
  <c r="B337" i="1" l="1"/>
  <c r="C337" i="1" s="1"/>
  <c r="D337" i="1" s="1"/>
  <c r="F337" i="1" s="1"/>
  <c r="H335" i="1"/>
  <c r="H336" i="1" l="1"/>
  <c r="B338" i="1"/>
  <c r="C338" i="1" l="1"/>
  <c r="D338" i="1" s="1"/>
  <c r="F338" i="1" s="1"/>
  <c r="H337" i="1" l="1"/>
  <c r="B339" i="1"/>
  <c r="C339" i="1" l="1"/>
  <c r="D339" i="1" s="1"/>
  <c r="F339" i="1" s="1"/>
  <c r="H338" i="1" l="1"/>
  <c r="B340" i="1"/>
  <c r="C340" i="1" l="1"/>
  <c r="D340" i="1" s="1"/>
  <c r="F340" i="1" s="1"/>
  <c r="H339" i="1" l="1"/>
  <c r="B341" i="1"/>
  <c r="C341" i="1" l="1"/>
  <c r="D341" i="1" s="1"/>
  <c r="F341" i="1" s="1"/>
  <c r="H340" i="1" l="1"/>
  <c r="B342" i="1"/>
  <c r="C342" i="1" l="1"/>
  <c r="D342" i="1" s="1"/>
  <c r="F342" i="1" s="1"/>
  <c r="H341" i="1" l="1"/>
  <c r="B343" i="1"/>
  <c r="C343" i="1" l="1"/>
  <c r="D343" i="1" s="1"/>
  <c r="F343" i="1" s="1"/>
  <c r="B344" i="1" l="1"/>
  <c r="C344" i="1" s="1"/>
  <c r="D344" i="1" s="1"/>
  <c r="F344" i="1" s="1"/>
  <c r="H342" i="1"/>
  <c r="H343" i="1" l="1"/>
  <c r="B345" i="1"/>
  <c r="C345" i="1" l="1"/>
  <c r="D345" i="1" s="1"/>
  <c r="F345" i="1" s="1"/>
  <c r="H344" i="1" l="1"/>
  <c r="B346" i="1"/>
  <c r="C346" i="1" l="1"/>
  <c r="D346" i="1" s="1"/>
  <c r="F346" i="1" l="1"/>
  <c r="B347" i="1" l="1"/>
  <c r="C347" i="1" s="1"/>
  <c r="D347" i="1" s="1"/>
  <c r="H345" i="1"/>
  <c r="F347" i="1" l="1"/>
  <c r="B348" i="1" l="1"/>
  <c r="C348" i="1" s="1"/>
  <c r="D348" i="1" s="1"/>
  <c r="H346" i="1"/>
  <c r="F348" i="1" l="1"/>
  <c r="B349" i="1" l="1"/>
  <c r="C349" i="1" s="1"/>
  <c r="D349" i="1" s="1"/>
  <c r="H347" i="1"/>
  <c r="F349" i="1" l="1"/>
  <c r="B350" i="1" l="1"/>
  <c r="C350" i="1" s="1"/>
  <c r="D350" i="1" s="1"/>
  <c r="H348" i="1"/>
  <c r="F350" i="1" l="1"/>
  <c r="B351" i="1" l="1"/>
  <c r="C351" i="1" s="1"/>
  <c r="D351" i="1" s="1"/>
  <c r="H349" i="1"/>
  <c r="F351" i="1" l="1"/>
  <c r="B352" i="1" l="1"/>
  <c r="C352" i="1" s="1"/>
  <c r="D352" i="1" s="1"/>
  <c r="H350" i="1"/>
  <c r="F352" i="1" l="1"/>
  <c r="B353" i="1" l="1"/>
  <c r="C353" i="1" s="1"/>
  <c r="D353" i="1" s="1"/>
  <c r="H351" i="1"/>
  <c r="F353" i="1" l="1"/>
  <c r="B354" i="1" l="1"/>
  <c r="C354" i="1" s="1"/>
  <c r="D354" i="1" s="1"/>
  <c r="H352" i="1"/>
  <c r="F354" i="1" l="1"/>
  <c r="B355" i="1" l="1"/>
  <c r="C355" i="1" s="1"/>
  <c r="D355" i="1" s="1"/>
  <c r="H353" i="1"/>
  <c r="F355" i="1" l="1"/>
  <c r="B356" i="1" l="1"/>
  <c r="C356" i="1" s="1"/>
  <c r="D356" i="1" s="1"/>
  <c r="H354" i="1"/>
  <c r="F356" i="1" l="1"/>
  <c r="B357" i="1" l="1"/>
  <c r="C357" i="1" s="1"/>
  <c r="D357" i="1" s="1"/>
  <c r="H355" i="1"/>
  <c r="F357" i="1" l="1"/>
  <c r="B358" i="1" l="1"/>
  <c r="C358" i="1" s="1"/>
  <c r="D358" i="1" s="1"/>
  <c r="H356" i="1"/>
  <c r="F358" i="1" l="1"/>
  <c r="B359" i="1" l="1"/>
  <c r="C359" i="1" s="1"/>
  <c r="D359" i="1" s="1"/>
  <c r="H357" i="1"/>
  <c r="F359" i="1" l="1"/>
  <c r="B360" i="1" l="1"/>
  <c r="C360" i="1" s="1"/>
  <c r="D360" i="1" s="1"/>
  <c r="H358" i="1"/>
  <c r="F360" i="1" l="1"/>
  <c r="B361" i="1" l="1"/>
  <c r="C361" i="1" s="1"/>
  <c r="D361" i="1" s="1"/>
  <c r="H359" i="1"/>
  <c r="F361" i="1" l="1"/>
  <c r="B362" i="1" l="1"/>
  <c r="C362" i="1" s="1"/>
  <c r="D362" i="1" s="1"/>
  <c r="F362" i="1" s="1"/>
  <c r="H360" i="1"/>
  <c r="B363" i="1" l="1"/>
  <c r="C363" i="1" s="1"/>
  <c r="D363" i="1" s="1"/>
  <c r="F363" i="1" s="1"/>
  <c r="H361" i="1"/>
  <c r="B364" i="1" l="1"/>
  <c r="C364" i="1" s="1"/>
  <c r="D364" i="1" s="1"/>
  <c r="H362" i="1"/>
  <c r="F364" i="1" l="1"/>
  <c r="B365" i="1" l="1"/>
  <c r="C365" i="1" s="1"/>
  <c r="D365" i="1" s="1"/>
  <c r="H363" i="1"/>
  <c r="F365" i="1" l="1"/>
  <c r="B366" i="1" l="1"/>
  <c r="C366" i="1" s="1"/>
  <c r="D366" i="1" s="1"/>
  <c r="F366" i="1" s="1"/>
  <c r="H364" i="1"/>
  <c r="B367" i="1" l="1"/>
  <c r="C367" i="1" s="1"/>
  <c r="D367" i="1" s="1"/>
  <c r="F367" i="1" s="1"/>
  <c r="H365" i="1"/>
  <c r="H367" i="1" l="1"/>
  <c r="K9" i="1" s="1" a="1"/>
  <c r="K9" i="1" s="1"/>
  <c r="H366" i="1"/>
  <c r="K8" i="1" l="1"/>
  <c r="H9" i="2" l="1"/>
  <c r="H8" i="2"/>
  <c r="F2" i="1"/>
  <c r="F3" i="1" l="1"/>
  <c r="H7" i="2" s="1"/>
  <c r="H1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<sst xmlns="http://schemas.openxmlformats.org/spreadsheetml/2006/main" count="38" uniqueCount="37">
  <si>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P</t>
  </si>
  <si>
    <t>Month</t>
  </si>
  <si>
    <t>Beg Bal</t>
  </si>
  <si>
    <t>Interest</t>
  </si>
  <si>
    <t>To Principle</t>
  </si>
  <si>
    <t>End Bal</t>
  </si>
  <si>
    <t>Extra Payment</t>
  </si>
  <si>
    <t>int</t>
  </si>
  <si>
    <t>Extra Payments</t>
  </si>
  <si>
    <t>Every…</t>
  </si>
  <si>
    <t>Payment amount:</t>
  </si>
  <si>
    <t>months</t>
  </si>
  <si>
    <t>years</t>
  </si>
  <si>
    <t>n</t>
  </si>
  <si>
    <t>Amortization Schedule with Extra Payments</t>
  </si>
  <si>
    <t>Total payments:</t>
  </si>
  <si>
    <t>Years</t>
  </si>
  <si>
    <t>Principle:</t>
  </si>
  <si>
    <t>Loan Period:</t>
  </si>
  <si>
    <t>Rate (APR):</t>
  </si>
  <si>
    <t>Monthly PMT:</t>
  </si>
  <si>
    <t>Extra payment every…</t>
  </si>
  <si>
    <t>Payoff time:</t>
  </si>
  <si>
    <t>Years and</t>
  </si>
  <si>
    <t>Extra payment AMT:</t>
  </si>
  <si>
    <t>Savings by making extra payments:</t>
  </si>
  <si>
    <t>Three months</t>
  </si>
  <si>
    <t>NO EXTRA PAYMENTS</t>
  </si>
  <si>
    <t>Total interest paid:</t>
  </si>
  <si>
    <t>EXTRA PAYMENTS</t>
  </si>
  <si>
    <t>Total interest:</t>
  </si>
  <si>
    <t>Months</t>
  </si>
  <si>
    <t>Month of last full payment</t>
  </si>
  <si>
    <t>Last month payment</t>
  </si>
  <si>
    <t>pmt:</t>
  </si>
  <si>
    <t>Extra payments:</t>
  </si>
  <si>
    <t>*WITH extra payments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</si>
</sst>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0.0%"/>
    <numFmt numFmtId="167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164" fontId="0" fillId="0" borderId="0" xfId="0" applyNumberFormat="1"/>
    <xf numFmtId="165" fontId="0" fillId="0" borderId="0" xfId="1" applyFon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166" fontId="0" fillId="0" borderId="0" xfId="2" applyNumberFormat="1" applyFont="1"/>
    <xf numFmtId="167" fontId="0" fillId="0" borderId="0" xfId="1" applyNumberFormat="1" applyFont="1"/>
    <xf numFmtId="164" fontId="0" fillId="0" borderId="0" xfId="1" applyNumberFormat="1" applyFont="1"/>
    <xf numFmtId="165" fontId="0" fillId="0" borderId="0" xfId="0" applyNumberFormat="1" applyAlignment="1">
      <alignment horizontal="right"/>
    </xf>
    <xf numFmtId="167" fontId="0" fillId="0" borderId="0" xfId="1" applyNumberFormat="1" applyFont="1" applyBorder="1"/>
    <xf numFmtId="10" fontId="0" fillId="0" borderId="0" xfId="0" applyNumberFormat="1"/>
    <xf numFmtId="0" fontId="2" fillId="0" borderId="1" xfId="0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2" fillId="0" borderId="4" xfId="0" applyFont="1" applyBorder="1" applyAlignment="1">
      <alignment horizontal="right"/>
    </xf>
    <xf numFmtId="0" fontId="0" fillId="0" borderId="5" xfId="0" applyBorder="1"/>
    <xf numFmtId="0" fontId="0" fillId="0" borderId="8" xfId="0" applyBorder="1"/>
    <xf numFmtId="0" fontId="2" fillId="0" borderId="6" xfId="0" applyFont="1" applyBorder="1" applyAlignment="1">
      <alignment horizontal="right"/>
    </xf>
    <xf numFmtId="0" fontId="0" fillId="0" borderId="4" xfId="0" applyBorder="1"/>
    <xf numFmtId="165" fontId="0" fillId="0" borderId="0" xfId="1" applyFont="1" applyBorder="1"/>
    <xf numFmtId="165" fontId="0" fillId="0" borderId="7" xfId="1" applyFont="1" applyBorder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9" xfId="0" applyFont="1" applyBorder="1" applyAlignment="1">
      <alignment horizontal="center" wrapText="1"/>
    </xf>
    <xf numFmtId="0" fontId="2" fillId="0" borderId="9" xfId="0" applyFont="1" applyBorder="1" applyAlignment="1">
      <alignment horizontal="center" vertical="center" wrapText="1"/>
    </xf>
    <xf numFmtId="165" fontId="0" fillId="0" borderId="9" xfId="0" applyNumberFormat="1" applyBorder="1"/>
    <xf numFmtId="0" fontId="0" fillId="0" borderId="11" xfId="0" applyBorder="1"/>
    <xf numFmtId="0" fontId="0" fillId="0" borderId="10" xfId="0" applyBorder="1"/>
    <xf numFmtId="167" fontId="0" fillId="0" borderId="12" xfId="1" applyNumberFormat="1" applyFont="1" applyBorder="1"/>
    <xf numFmtId="0" fontId="0" fillId="0" borderId="13" xfId="0" applyBorder="1"/>
    <xf numFmtId="0" fontId="2" fillId="0" borderId="15" xfId="0" applyFont="1" applyBorder="1" applyAlignment="1">
      <alignment horizontal="right"/>
    </xf>
    <xf numFmtId="0" fontId="2" fillId="0" borderId="16" xfId="0" applyFont="1" applyBorder="1" applyAlignment="1">
      <alignment horizontal="right"/>
    </xf>
    <xf numFmtId="0" fontId="0" fillId="0" borderId="17" xfId="0" applyBorder="1"/>
    <xf numFmtId="0" fontId="2" fillId="0" borderId="16" xfId="0" applyFont="1" applyBorder="1" applyAlignment="1">
      <alignment horizontal="right" wrapText="1"/>
    </xf>
    <xf numFmtId="0" fontId="2" fillId="0" borderId="18" xfId="0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6" xfId="0" applyBorder="1"/>
    <xf numFmtId="0" fontId="2" fillId="0" borderId="22" xfId="0" applyFont="1" applyBorder="1" applyAlignment="1">
      <alignment horizontal="right" wrapText="1"/>
    </xf>
    <xf numFmtId="165" fontId="0" fillId="0" borderId="22" xfId="1" applyFont="1" applyBorder="1" applyAlignment="1">
      <alignment horizontal="center" vertical="center"/>
    </xf>
    <xf numFmtId="164" fontId="0" fillId="0" borderId="9" xfId="0" applyNumberFormat="1" applyBorder="1"/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8</xdr:row>
          <xdr:rowOff>114300</xdr:rowOff>
        </xdr:from>
        <xdr:to>
          <xdr:col>2</xdr:col>
          <xdr:colOff>647700</xdr:colOff>
          <xdr:row>10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2DD97-F18A-41FA-82F1-7E59EA617E9F}">
  <sheetPr codeName="Sheet2"/>
  <dimension ref="A1:I19"/>
  <sheetViews>
    <sheetView tabSelected="1" workbookViewId="0">
      <selection activeCell="C4" sqref="C4"/>
    </sheetView>
  </sheetViews>
  <sheetFormatPr defaultRowHeight="15" x14ac:dyDescent="0.25"/>
  <cols>
    <col min="2" max="2" width="19" bestFit="1" customWidth="1"/>
    <col min="3" max="3" width="12.140625" customWidth="1"/>
    <col min="4" max="4" width="10" customWidth="1"/>
    <col min="6" max="6" width="20.85546875" customWidth="1"/>
    <col min="7" max="7" width="14.140625" customWidth="1"/>
    <col min="8" max="8" width="13.7109375" customWidth="1"/>
  </cols>
  <sheetData>
    <row r="1" spans="1:9" x14ac:dyDescent="0.25">
      <c r="A1" s="5" t="s">
        <v>14</v>
      </c>
    </row>
    <row r="2" spans="1:9" ht="15.75" thickBot="1" x14ac:dyDescent="0.3"/>
    <row r="3" spans="1:9" x14ac:dyDescent="0.25">
      <c r="B3" s="12" t="s">
        <v>18</v>
      </c>
      <c r="C3" s="13">
        <v>20</v>
      </c>
      <c r="D3" s="14" t="s">
        <v>16</v>
      </c>
      <c r="F3" s="12" t="s">
        <v>21</v>
      </c>
      <c r="G3" s="43" t="s">
        <v>26</v>
      </c>
      <c r="H3" s="44"/>
      <c r="I3" s="14"/>
    </row>
    <row r="4" spans="1:9" x14ac:dyDescent="0.25">
      <c r="B4" s="15" t="s">
        <v>17</v>
      </c>
      <c r="C4" s="10">
        <v>300000</v>
      </c>
      <c r="D4" s="16"/>
      <c r="F4" s="31" t="s">
        <v>24</v>
      </c>
      <c r="G4" s="29">
        <v>500</v>
      </c>
      <c r="H4" s="30"/>
      <c r="I4" s="16"/>
    </row>
    <row r="5" spans="1:9" x14ac:dyDescent="0.25">
      <c r="B5" s="15" t="s">
        <v>19</v>
      </c>
      <c r="C5" s="11">
        <v>4.7E-2</v>
      </c>
      <c r="D5" s="16"/>
      <c r="F5" s="19"/>
      <c r="I5" s="16"/>
    </row>
    <row r="6" spans="1:9" ht="30" x14ac:dyDescent="0.25">
      <c r="B6" s="19"/>
      <c r="D6" s="16"/>
      <c r="F6" s="32"/>
      <c r="G6" s="24" t="s">
        <v>27</v>
      </c>
      <c r="H6" s="25" t="s">
        <v>29</v>
      </c>
      <c r="I6" s="33"/>
    </row>
    <row r="7" spans="1:9" ht="15.75" thickBot="1" x14ac:dyDescent="0.3">
      <c r="B7" s="18" t="s">
        <v>20</v>
      </c>
      <c r="C7" s="21">
        <f>pmt</f>
        <v>1930.4883008789566</v>
      </c>
      <c r="D7" s="17"/>
      <c r="F7" s="34" t="s">
        <v>28</v>
      </c>
      <c r="G7" s="26">
        <f>pmt*n*12-P</f>
        <v>163317.19221094961</v>
      </c>
      <c r="H7" s="42">
        <f>'Amortization Schedule'!F3</f>
        <v>141007.26373218489</v>
      </c>
      <c r="I7" s="33"/>
    </row>
    <row r="8" spans="1:9" x14ac:dyDescent="0.25">
      <c r="F8" s="35" t="s">
        <v>22</v>
      </c>
      <c r="G8" s="28">
        <f>C3</f>
        <v>20</v>
      </c>
      <c r="H8" s="28">
        <f>_xlfn.FLOOR.MATH(('Amortization Schedule'!K8+1)/12)</f>
        <v>17</v>
      </c>
      <c r="I8" s="36" t="s">
        <v>23</v>
      </c>
    </row>
    <row r="9" spans="1:9" x14ac:dyDescent="0.25">
      <c r="F9" s="37"/>
      <c r="G9" s="27">
        <v>0</v>
      </c>
      <c r="H9" s="27">
        <f>MOD(('Amortization Schedule'!K8+1), 12)</f>
        <v>7</v>
      </c>
      <c r="I9" s="38" t="s">
        <v>11</v>
      </c>
    </row>
    <row r="10" spans="1:9" x14ac:dyDescent="0.25">
      <c r="F10" s="19"/>
      <c r="I10" s="16"/>
    </row>
    <row r="11" spans="1:9" ht="45.75" thickBot="1" x14ac:dyDescent="0.3">
      <c r="F11" s="39"/>
      <c r="G11" s="40" t="s">
        <v>25</v>
      </c>
      <c r="H11" s="41">
        <f>G7-H7</f>
        <v>22309.928478764719</v>
      </c>
      <c r="I11" s="17"/>
    </row>
    <row r="13" spans="1:9" x14ac:dyDescent="0.25">
      <c r="H13" s="3"/>
    </row>
    <row r="18" spans="2:6" x14ac:dyDescent="0.25">
      <c r="F18" s="22"/>
    </row>
    <row r="19" spans="2:6" x14ac:dyDescent="0.25">
      <c r="B19" s="23"/>
      <c r="C19" s="20"/>
    </row>
  </sheetData>
  <mergeCells count="1">
    <mergeCell ref="G3:H3"/>
  </mergeCells>
  <dataValidations count="2">
    <dataValidation type="list" allowBlank="1" showInputMessage="1" showErrorMessage="1" sqref="G3" xr:uid="{F2A2EC26-DDB8-4856-B091-2AF7B2EE056D}">
      <formula1>"(No extra payment),Month,Two months,Three months,Four months,Six months,Year,Two Years"</formula1>
    </dataValidation>
    <dataValidation type="custom" allowBlank="1" showInputMessage="1" showErrorMessage="1" errorTitle="Loan Amount out of range!" error="Loan Amount must be positive with a maximum of 30 years!" sqref="C3" xr:uid="{26BF1794-F243-457C-84EE-B70070B815E7}">
      <formula1>(C3&gt;0)*(C3&lt;=30)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Grade">
                <anchor moveWithCells="1" sizeWithCells="1">
                  <from>
                    <xdr:col>1</xdr:col>
                    <xdr:colOff>1085850</xdr:colOff>
                    <xdr:row>8</xdr:row>
                    <xdr:rowOff>114300</xdr:rowOff>
                  </from>
                  <to>
                    <xdr:col>2</xdr:col>
                    <xdr:colOff>647700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4642-2A25-4FD1-B06F-624A22FCE3A5}">
  <sheetPr codeName="Sheet1"/>
  <dimension ref="A1:L367"/>
  <sheetViews>
    <sheetView workbookViewId="0">
      <selection activeCell="F2" sqref="F2"/>
    </sheetView>
  </sheetViews>
  <sheetFormatPr defaultRowHeight="15" x14ac:dyDescent="0.25"/>
  <cols>
    <col min="2" max="2" width="12.42578125" bestFit="1" customWidth="1"/>
    <col min="3" max="4" width="10.42578125" bestFit="1" customWidth="1"/>
    <col min="5" max="5" width="15.85546875" customWidth="1"/>
    <col min="6" max="6" width="12.42578125" bestFit="1" customWidth="1"/>
    <col min="7" max="7" width="12.42578125" customWidth="1"/>
    <col min="8" max="8" width="11.28515625" bestFit="1" customWidth="1"/>
    <col min="9" max="9" width="12" customWidth="1"/>
    <col min="10" max="10" width="11.85546875" customWidth="1"/>
    <col min="11" max="11" width="16" customWidth="1"/>
    <col min="12" max="12" width="11" customWidth="1"/>
  </cols>
  <sheetData>
    <row r="1" spans="1:12" x14ac:dyDescent="0.25">
      <c r="A1" s="5" t="s">
        <v>14</v>
      </c>
    </row>
    <row r="2" spans="1:12" x14ac:dyDescent="0.25">
      <c r="E2" t="s">
        <v>15</v>
      </c>
      <c r="F2" s="2">
        <f>K8*pmt+K9+_xlfn.FLOOR.MATH(K8/interval)*extrapmt</f>
        <v>441007.26373218489</v>
      </c>
      <c r="G2" t="s">
        <v>36</v>
      </c>
    </row>
    <row r="3" spans="1:12" x14ac:dyDescent="0.25">
      <c r="A3" t="s">
        <v>13</v>
      </c>
      <c r="B3">
        <f>Dashboard!C3</f>
        <v>20</v>
      </c>
      <c r="C3" t="s">
        <v>12</v>
      </c>
      <c r="E3" t="s">
        <v>30</v>
      </c>
      <c r="F3" s="3">
        <f>F2-P</f>
        <v>141007.26373218489</v>
      </c>
      <c r="G3" s="1"/>
      <c r="J3" s="5" t="s">
        <v>8</v>
      </c>
    </row>
    <row r="4" spans="1:12" x14ac:dyDescent="0.25">
      <c r="A4" t="s">
        <v>0</v>
      </c>
      <c r="B4" s="7">
        <f>Dashboard!C4</f>
        <v>300000</v>
      </c>
      <c r="J4" t="s">
        <v>9</v>
      </c>
      <c r="K4" cm="1">
        <f t="array" ref="K4">_xlfn.SWITCH(Dashboard!G3, "(No extra payment)", 0,  "Month", 1, "Two months", 2, "Three months", 3, "Four months", 4, "Six months", 6, "Year", 12, "Two Years", 24)</f>
        <v>3</v>
      </c>
      <c r="L4" t="s">
        <v>31</v>
      </c>
    </row>
    <row r="5" spans="1:12" x14ac:dyDescent="0.25">
      <c r="A5" t="s">
        <v>7</v>
      </c>
      <c r="B5" s="6">
        <f>Dashboard!C5</f>
        <v>4.7E-2</v>
      </c>
      <c r="D5" s="4" t="s">
        <v>34</v>
      </c>
      <c r="E5" s="1">
        <f>-PMT(int/12, n*12, P)</f>
        <v>1930.4883008789566</v>
      </c>
    </row>
    <row r="6" spans="1:12" x14ac:dyDescent="0.25">
      <c r="J6" s="4" t="s">
        <v>10</v>
      </c>
      <c r="K6" s="2">
        <f>Dashboard!G4</f>
        <v>500</v>
      </c>
    </row>
    <row r="7" spans="1:12" x14ac:dyDescent="0.25">
      <c r="A7" s="5" t="s">
        <v>1</v>
      </c>
      <c r="B7" s="5" t="s">
        <v>2</v>
      </c>
      <c r="C7" s="5" t="s">
        <v>3</v>
      </c>
      <c r="D7" s="5" t="s">
        <v>4</v>
      </c>
      <c r="E7" s="5" t="s">
        <v>6</v>
      </c>
      <c r="F7" s="5" t="s">
        <v>5</v>
      </c>
      <c r="G7" s="5"/>
      <c r="H7" s="5"/>
    </row>
    <row r="8" spans="1:12" x14ac:dyDescent="0.25">
      <c r="A8">
        <v>1</v>
      </c>
      <c r="B8" s="8">
        <f>P</f>
        <v>300000</v>
      </c>
      <c r="C8" s="8">
        <f>B8*int/12</f>
        <v>1175</v>
      </c>
      <c r="D8" s="8">
        <f>pmt-C8</f>
        <v>755.48830087895658</v>
      </c>
      <c r="E8" s="2">
        <f>IFERROR(IF(MOD(A8, interval)=0, extrapmt, 0), 0)</f>
        <v>0</v>
      </c>
      <c r="F8" s="1">
        <f>IF(B8-D8-E8&lt;0, 0, B8-D8-E8)</f>
        <v>299244.51169912104</v>
      </c>
      <c r="G8" s="1"/>
      <c r="H8" s="4">
        <f>(F8&gt;0)*(F9=0)</f>
        <v>0</v>
      </c>
      <c r="I8" s="9"/>
      <c r="K8">
        <f>INDEX(A8:A367, MATCH(1, H8:H367, 0))</f>
        <v>210</v>
      </c>
      <c r="L8" t="s">
        <v>32</v>
      </c>
    </row>
    <row r="9" spans="1:12" x14ac:dyDescent="0.25">
      <c r="A9">
        <v>2</v>
      </c>
      <c r="B9" s="1">
        <f>F8</f>
        <v>299244.51169912104</v>
      </c>
      <c r="C9" s="8">
        <f>B9*int/12</f>
        <v>1172.0410041548907</v>
      </c>
      <c r="D9" s="8">
        <f>pmt-C9</f>
        <v>758.44729672406584</v>
      </c>
      <c r="E9" s="2">
        <f>IFERROR(IF(MOD(A9, interval)=0, extrapmt, 0), 0)</f>
        <v>0</v>
      </c>
      <c r="F9" s="1">
        <f t="shared" ref="F9:F72" si="0">IF(B9-D9-E9&lt;0, 0, B9-D9-E9)</f>
        <v>298486.06440239697</v>
      </c>
      <c r="G9" s="1"/>
      <c r="H9" s="4">
        <f t="shared" ref="H9:H72" si="1">(F9&gt;0)*(F10=0)</f>
        <v>0</v>
      </c>
      <c r="I9" s="2"/>
      <c r="K9" s="2" cm="1">
        <f t="array" ref="K9">INDEX(B8:B367, MATCH(1, H8:H367, 0)+1)+INDEX(C8:C367, MATCH(1, H8:H367, 0)+1)</f>
        <v>604.72054760402534</v>
      </c>
      <c r="L9" t="s">
        <v>33</v>
      </c>
    </row>
    <row r="10" spans="1:12" x14ac:dyDescent="0.25">
      <c r="A10">
        <v>3</v>
      </c>
      <c r="B10" s="1">
        <f t="shared" ref="B10:B11" si="2">F9</f>
        <v>298486.06440239697</v>
      </c>
      <c r="C10" s="8">
        <f>B10*int/12</f>
        <v>1169.0704189093881</v>
      </c>
      <c r="D10" s="8">
        <f>pmt-C10</f>
        <v>761.4178819695685</v>
      </c>
      <c r="E10" s="2">
        <f>IFERROR(IF(MOD(A10, interval)=0, extrapmt, 0), 0)</f>
        <v>500</v>
      </c>
      <c r="F10" s="1">
        <f t="shared" si="0"/>
        <v>297224.64652042737</v>
      </c>
      <c r="G10" s="1"/>
      <c r="H10" s="4">
        <f t="shared" si="1"/>
        <v>0</v>
      </c>
      <c r="I10" s="3"/>
    </row>
    <row r="11" spans="1:12" x14ac:dyDescent="0.25">
      <c r="A11">
        <v>4</v>
      </c>
      <c r="B11" s="1">
        <f t="shared" si="2"/>
        <v>297224.64652042737</v>
      </c>
      <c r="C11" s="8">
        <f>B11*int/12</f>
        <v>1164.1298655383405</v>
      </c>
      <c r="D11" s="8">
        <f>pmt-C11</f>
        <v>766.3584353406161</v>
      </c>
      <c r="E11" s="2">
        <f>IFERROR(IF(MOD(A11, interval)=0, extrapmt, 0), 0)</f>
        <v>0</v>
      </c>
      <c r="F11" s="1">
        <f t="shared" si="0"/>
        <v>296458.28808508674</v>
      </c>
      <c r="G11" s="1"/>
      <c r="H11" s="4">
        <f t="shared" si="1"/>
        <v>0</v>
      </c>
    </row>
    <row r="12" spans="1:12" x14ac:dyDescent="0.25">
      <c r="A12">
        <v>5</v>
      </c>
      <c r="B12" s="1">
        <f t="shared" ref="B12:B75" si="3">F11</f>
        <v>296458.28808508674</v>
      </c>
      <c r="C12" s="8">
        <f>B12*int/12</f>
        <v>1161.1282949999231</v>
      </c>
      <c r="D12" s="8">
        <f>pmt-C12</f>
        <v>769.36000587903345</v>
      </c>
      <c r="E12" s="2">
        <f>IFERROR(IF(MOD(A12, interval)=0, extrapmt, 0), 0)</f>
        <v>0</v>
      </c>
      <c r="F12" s="1">
        <f t="shared" si="0"/>
        <v>295688.92807920772</v>
      </c>
      <c r="G12" s="1"/>
      <c r="H12" s="4">
        <f t="shared" si="1"/>
        <v>0</v>
      </c>
      <c r="I12" s="3"/>
      <c r="J12" s="4" t="s">
        <v>35</v>
      </c>
    </row>
    <row r="13" spans="1:12" x14ac:dyDescent="0.25">
      <c r="A13">
        <v>6</v>
      </c>
      <c r="B13" s="1">
        <f t="shared" si="3"/>
        <v>295688.92807920772</v>
      </c>
      <c r="C13" s="8">
        <f>B13*int/12</f>
        <v>1158.1149683102301</v>
      </c>
      <c r="D13" s="8">
        <f>pmt-C13</f>
        <v>772.37333256872648</v>
      </c>
      <c r="E13" s="2">
        <f>IFERROR(IF(MOD(A13, interval)=0, extrapmt, 0), 0)</f>
        <v>500</v>
      </c>
      <c r="F13" s="1">
        <f t="shared" si="0"/>
        <v>294416.55474663898</v>
      </c>
      <c r="G13" s="1"/>
      <c r="H13" s="4">
        <f t="shared" si="1"/>
        <v>0</v>
      </c>
    </row>
    <row r="14" spans="1:12" x14ac:dyDescent="0.25">
      <c r="A14">
        <v>7</v>
      </c>
      <c r="B14" s="1">
        <f t="shared" si="3"/>
        <v>294416.55474663898</v>
      </c>
      <c r="C14" s="8">
        <f>B14*int/12</f>
        <v>1153.1315060910026</v>
      </c>
      <c r="D14" s="8">
        <f>pmt-C14</f>
        <v>777.35679478795396</v>
      </c>
      <c r="E14" s="2">
        <f>IFERROR(IF(MOD(A14, interval)=0, extrapmt, 0), 0)</f>
        <v>0</v>
      </c>
      <c r="F14" s="1">
        <f t="shared" si="0"/>
        <v>293639.19795185101</v>
      </c>
      <c r="G14" s="1"/>
      <c r="H14" s="4">
        <f t="shared" si="1"/>
        <v>0</v>
      </c>
      <c r="I14" s="1"/>
      <c r="J14" s="3">
        <f>SUM(E8:E300)</f>
        <v>48500</v>
      </c>
    </row>
    <row r="15" spans="1:12" x14ac:dyDescent="0.25">
      <c r="A15">
        <v>8</v>
      </c>
      <c r="B15" s="1">
        <f t="shared" si="3"/>
        <v>293639.19795185101</v>
      </c>
      <c r="C15" s="8">
        <f>B15*int/12</f>
        <v>1150.0868586447498</v>
      </c>
      <c r="D15" s="8">
        <f>pmt-C15</f>
        <v>780.4014422342068</v>
      </c>
      <c r="E15" s="2">
        <f>IFERROR(IF(MOD(A15, interval)=0, extrapmt, 0), 0)</f>
        <v>0</v>
      </c>
      <c r="F15" s="1">
        <f t="shared" si="0"/>
        <v>292858.79650961678</v>
      </c>
      <c r="G15" s="1"/>
      <c r="H15" s="4">
        <f t="shared" si="1"/>
        <v>0</v>
      </c>
    </row>
    <row r="16" spans="1:12" x14ac:dyDescent="0.25">
      <c r="A16">
        <v>9</v>
      </c>
      <c r="B16" s="1">
        <f t="shared" si="3"/>
        <v>292858.79650961678</v>
      </c>
      <c r="C16" s="8">
        <f>B16*int/12</f>
        <v>1147.0302863293325</v>
      </c>
      <c r="D16" s="8">
        <f>pmt-C16</f>
        <v>783.45801454962407</v>
      </c>
      <c r="E16" s="2">
        <f>IFERROR(IF(MOD(A16, interval)=0, extrapmt, 0), 0)</f>
        <v>500</v>
      </c>
      <c r="F16" s="1">
        <f t="shared" si="0"/>
        <v>291575.33849506715</v>
      </c>
      <c r="G16" s="1"/>
      <c r="H16" s="4">
        <f t="shared" si="1"/>
        <v>0</v>
      </c>
    </row>
    <row r="17" spans="1:10" x14ac:dyDescent="0.25">
      <c r="A17">
        <v>10</v>
      </c>
      <c r="B17" s="1">
        <f t="shared" si="3"/>
        <v>291575.33849506715</v>
      </c>
      <c r="C17" s="8">
        <f>B17*int/12</f>
        <v>1142.0034091056798</v>
      </c>
      <c r="D17" s="8">
        <f>pmt-C17</f>
        <v>788.48489177327679</v>
      </c>
      <c r="E17" s="2">
        <f>IFERROR(IF(MOD(A17, interval)=0, extrapmt, 0), 0)</f>
        <v>0</v>
      </c>
      <c r="F17" s="1">
        <f t="shared" si="0"/>
        <v>290786.85360329389</v>
      </c>
      <c r="G17" s="1"/>
      <c r="H17" s="4">
        <f t="shared" si="1"/>
        <v>0</v>
      </c>
      <c r="J17" s="1"/>
    </row>
    <row r="18" spans="1:10" x14ac:dyDescent="0.25">
      <c r="A18">
        <v>11</v>
      </c>
      <c r="B18" s="1">
        <f t="shared" si="3"/>
        <v>290786.85360329389</v>
      </c>
      <c r="C18" s="8">
        <f>B18*int/12</f>
        <v>1138.915176612901</v>
      </c>
      <c r="D18" s="8">
        <f>pmt-C18</f>
        <v>791.57312426605563</v>
      </c>
      <c r="E18" s="2">
        <f>IFERROR(IF(MOD(A18, interval)=0, extrapmt, 0), 0)</f>
        <v>0</v>
      </c>
      <c r="F18" s="1">
        <f t="shared" si="0"/>
        <v>289995.28047902783</v>
      </c>
      <c r="G18" s="1"/>
      <c r="H18" s="4">
        <f t="shared" si="1"/>
        <v>0</v>
      </c>
    </row>
    <row r="19" spans="1:10" x14ac:dyDescent="0.25">
      <c r="A19">
        <v>12</v>
      </c>
      <c r="B19" s="1">
        <f t="shared" si="3"/>
        <v>289995.28047902783</v>
      </c>
      <c r="C19" s="8">
        <f>B19*int/12</f>
        <v>1135.814848542859</v>
      </c>
      <c r="D19" s="8">
        <f>pmt-C19</f>
        <v>794.67345233609763</v>
      </c>
      <c r="E19" s="2">
        <f>IFERROR(IF(MOD(A19, interval)=0, extrapmt, 0), 0)</f>
        <v>500</v>
      </c>
      <c r="F19" s="1">
        <f t="shared" si="0"/>
        <v>288700.60702669172</v>
      </c>
      <c r="G19" s="1"/>
      <c r="H19" s="4">
        <f t="shared" si="1"/>
        <v>0</v>
      </c>
    </row>
    <row r="20" spans="1:10" x14ac:dyDescent="0.25">
      <c r="A20">
        <v>13</v>
      </c>
      <c r="B20" s="1">
        <f t="shared" si="3"/>
        <v>288700.60702669172</v>
      </c>
      <c r="C20" s="8">
        <f>B20*int/12</f>
        <v>1130.7440441878759</v>
      </c>
      <c r="D20" s="8">
        <f>pmt-C20</f>
        <v>799.74425669108064</v>
      </c>
      <c r="E20" s="2">
        <f>IFERROR(IF(MOD(A20, interval)=0, extrapmt, 0), 0)</f>
        <v>0</v>
      </c>
      <c r="F20" s="1">
        <f t="shared" si="0"/>
        <v>287900.86277000065</v>
      </c>
      <c r="G20" s="1"/>
      <c r="H20" s="4">
        <f t="shared" si="1"/>
        <v>0</v>
      </c>
    </row>
    <row r="21" spans="1:10" x14ac:dyDescent="0.25">
      <c r="A21">
        <v>14</v>
      </c>
      <c r="B21" s="1">
        <f t="shared" si="3"/>
        <v>287900.86277000065</v>
      </c>
      <c r="C21" s="8">
        <f>B21*int/12</f>
        <v>1127.611712515836</v>
      </c>
      <c r="D21" s="8">
        <f>pmt-C21</f>
        <v>802.87658836312062</v>
      </c>
      <c r="E21" s="2">
        <f>IFERROR(IF(MOD(A21, interval)=0, extrapmt, 0), 0)</f>
        <v>0</v>
      </c>
      <c r="F21" s="1">
        <f t="shared" si="0"/>
        <v>287097.98618163751</v>
      </c>
      <c r="G21" s="1"/>
      <c r="H21" s="4">
        <f t="shared" si="1"/>
        <v>0</v>
      </c>
    </row>
    <row r="22" spans="1:10" x14ac:dyDescent="0.25">
      <c r="A22">
        <v>15</v>
      </c>
      <c r="B22" s="1">
        <f t="shared" si="3"/>
        <v>287097.98618163751</v>
      </c>
      <c r="C22" s="8">
        <f>B22*int/12</f>
        <v>1124.4671125447469</v>
      </c>
      <c r="D22" s="8">
        <f>pmt-C22</f>
        <v>806.02118833420968</v>
      </c>
      <c r="E22" s="2">
        <f>IFERROR(IF(MOD(A22, interval)=0, extrapmt, 0), 0)</f>
        <v>500</v>
      </c>
      <c r="F22" s="1">
        <f t="shared" si="0"/>
        <v>285791.96499330329</v>
      </c>
      <c r="G22" s="1"/>
      <c r="H22" s="4">
        <f t="shared" si="1"/>
        <v>0</v>
      </c>
    </row>
    <row r="23" spans="1:10" x14ac:dyDescent="0.25">
      <c r="A23">
        <v>16</v>
      </c>
      <c r="B23" s="1">
        <f t="shared" si="3"/>
        <v>285791.96499330329</v>
      </c>
      <c r="C23" s="8">
        <f>B23*int/12</f>
        <v>1119.3518628904378</v>
      </c>
      <c r="D23" s="8">
        <f>pmt-C23</f>
        <v>811.13643798851876</v>
      </c>
      <c r="E23" s="2">
        <f>IFERROR(IF(MOD(A23, interval)=0, extrapmt, 0), 0)</f>
        <v>0</v>
      </c>
      <c r="F23" s="1">
        <f t="shared" si="0"/>
        <v>284980.8285553148</v>
      </c>
      <c r="G23" s="1"/>
      <c r="H23" s="4">
        <f t="shared" si="1"/>
        <v>0</v>
      </c>
    </row>
    <row r="24" spans="1:10" x14ac:dyDescent="0.25">
      <c r="A24">
        <v>17</v>
      </c>
      <c r="B24" s="1">
        <f t="shared" si="3"/>
        <v>284980.8285553148</v>
      </c>
      <c r="C24" s="8">
        <f>B24*int/12</f>
        <v>1116.1749118416496</v>
      </c>
      <c r="D24" s="8">
        <f>pmt-C24</f>
        <v>814.31338903730693</v>
      </c>
      <c r="E24" s="2">
        <f>IFERROR(IF(MOD(A24, interval)=0, extrapmt, 0), 0)</f>
        <v>0</v>
      </c>
      <c r="F24" s="1">
        <f t="shared" si="0"/>
        <v>284166.51516627747</v>
      </c>
      <c r="G24" s="1"/>
      <c r="H24" s="4">
        <f t="shared" si="1"/>
        <v>0</v>
      </c>
    </row>
    <row r="25" spans="1:10" x14ac:dyDescent="0.25">
      <c r="A25">
        <v>18</v>
      </c>
      <c r="B25" s="1">
        <f t="shared" si="3"/>
        <v>284166.51516627747</v>
      </c>
      <c r="C25" s="8">
        <f>B25*int/12</f>
        <v>1112.9855177345869</v>
      </c>
      <c r="D25" s="8">
        <f>pmt-C25</f>
        <v>817.50278314436969</v>
      </c>
      <c r="E25" s="2">
        <f>IFERROR(IF(MOD(A25, interval)=0, extrapmt, 0), 0)</f>
        <v>500</v>
      </c>
      <c r="F25" s="1">
        <f t="shared" si="0"/>
        <v>282849.01238313311</v>
      </c>
      <c r="G25" s="1"/>
      <c r="H25" s="4">
        <f t="shared" si="1"/>
        <v>0</v>
      </c>
    </row>
    <row r="26" spans="1:10" x14ac:dyDescent="0.25">
      <c r="A26">
        <v>19</v>
      </c>
      <c r="B26" s="1">
        <f t="shared" si="3"/>
        <v>282849.01238313311</v>
      </c>
      <c r="C26" s="8">
        <f>B26*int/12</f>
        <v>1107.8252985006047</v>
      </c>
      <c r="D26" s="8">
        <f>pmt-C26</f>
        <v>822.66300237835185</v>
      </c>
      <c r="E26" s="2">
        <f>IFERROR(IF(MOD(A26, interval)=0, extrapmt, 0), 0)</f>
        <v>0</v>
      </c>
      <c r="F26" s="1">
        <f t="shared" si="0"/>
        <v>282026.34938075475</v>
      </c>
      <c r="G26" s="1"/>
      <c r="H26" s="4">
        <f t="shared" si="1"/>
        <v>0</v>
      </c>
    </row>
    <row r="27" spans="1:10" x14ac:dyDescent="0.25">
      <c r="A27">
        <v>20</v>
      </c>
      <c r="B27" s="1">
        <f t="shared" si="3"/>
        <v>282026.34938075475</v>
      </c>
      <c r="C27" s="8">
        <f>B27*int/12</f>
        <v>1104.6032017412895</v>
      </c>
      <c r="D27" s="8">
        <f>pmt-C27</f>
        <v>825.88509913766711</v>
      </c>
      <c r="E27" s="2">
        <f>IFERROR(IF(MOD(A27, interval)=0, extrapmt, 0), 0)</f>
        <v>0</v>
      </c>
      <c r="F27" s="1">
        <f t="shared" si="0"/>
        <v>281200.46428161708</v>
      </c>
      <c r="G27" s="1"/>
      <c r="H27" s="4">
        <f t="shared" si="1"/>
        <v>0</v>
      </c>
    </row>
    <row r="28" spans="1:10" x14ac:dyDescent="0.25">
      <c r="A28">
        <v>21</v>
      </c>
      <c r="B28" s="1">
        <f t="shared" si="3"/>
        <v>281200.46428161708</v>
      </c>
      <c r="C28" s="8">
        <f>B28*int/12</f>
        <v>1101.3684851030002</v>
      </c>
      <c r="D28" s="8">
        <f>pmt-C28</f>
        <v>829.11981577595634</v>
      </c>
      <c r="E28" s="2">
        <f>IFERROR(IF(MOD(A28, interval)=0, extrapmt, 0), 0)</f>
        <v>500</v>
      </c>
      <c r="F28" s="1">
        <f t="shared" si="0"/>
        <v>279871.34446584113</v>
      </c>
      <c r="G28" s="1"/>
      <c r="H28" s="4">
        <f t="shared" si="1"/>
        <v>0</v>
      </c>
    </row>
    <row r="29" spans="1:10" x14ac:dyDescent="0.25">
      <c r="A29">
        <v>22</v>
      </c>
      <c r="B29" s="1">
        <f t="shared" si="3"/>
        <v>279871.34446584113</v>
      </c>
      <c r="C29" s="8">
        <f>B29*int/12</f>
        <v>1096.1627658245445</v>
      </c>
      <c r="D29" s="8">
        <f>pmt-C29</f>
        <v>834.32553505441206</v>
      </c>
      <c r="E29" s="2">
        <f>IFERROR(IF(MOD(A29, interval)=0, extrapmt, 0), 0)</f>
        <v>0</v>
      </c>
      <c r="F29" s="1">
        <f t="shared" si="0"/>
        <v>279037.0189307867</v>
      </c>
      <c r="G29" s="1"/>
      <c r="H29" s="4">
        <f t="shared" si="1"/>
        <v>0</v>
      </c>
    </row>
    <row r="30" spans="1:10" x14ac:dyDescent="0.25">
      <c r="A30">
        <v>23</v>
      </c>
      <c r="B30" s="1">
        <f t="shared" si="3"/>
        <v>279037.0189307867</v>
      </c>
      <c r="C30" s="8">
        <f>B30*int/12</f>
        <v>1092.8949908122479</v>
      </c>
      <c r="D30" s="8">
        <f>pmt-C30</f>
        <v>837.59331006670868</v>
      </c>
      <c r="E30" s="2">
        <f>IFERROR(IF(MOD(A30, interval)=0, extrapmt, 0), 0)</f>
        <v>0</v>
      </c>
      <c r="F30" s="1">
        <f t="shared" si="0"/>
        <v>278199.42562071997</v>
      </c>
      <c r="G30" s="1"/>
      <c r="H30" s="4">
        <f t="shared" si="1"/>
        <v>0</v>
      </c>
    </row>
    <row r="31" spans="1:10" x14ac:dyDescent="0.25">
      <c r="A31">
        <v>24</v>
      </c>
      <c r="B31" s="1">
        <f t="shared" si="3"/>
        <v>278199.42562071997</v>
      </c>
      <c r="C31" s="8">
        <f>B31*int/12</f>
        <v>1089.6144170144864</v>
      </c>
      <c r="D31" s="8">
        <f>pmt-C31</f>
        <v>840.87388386447014</v>
      </c>
      <c r="E31" s="2">
        <f>IFERROR(IF(MOD(A31, interval)=0, extrapmt, 0), 0)</f>
        <v>500</v>
      </c>
      <c r="F31" s="1">
        <f t="shared" si="0"/>
        <v>276858.55173685547</v>
      </c>
      <c r="G31" s="1"/>
      <c r="H31" s="4">
        <f t="shared" si="1"/>
        <v>0</v>
      </c>
    </row>
    <row r="32" spans="1:10" x14ac:dyDescent="0.25">
      <c r="A32">
        <v>25</v>
      </c>
      <c r="B32" s="1">
        <f t="shared" si="3"/>
        <v>276858.55173685547</v>
      </c>
      <c r="C32" s="8">
        <f>B32*int/12</f>
        <v>1084.3626609693506</v>
      </c>
      <c r="D32" s="8">
        <f>pmt-C32</f>
        <v>846.12563990960598</v>
      </c>
      <c r="E32" s="2">
        <f>IFERROR(IF(MOD(A32, interval)=0, extrapmt, 0), 0)</f>
        <v>0</v>
      </c>
      <c r="F32" s="1">
        <f t="shared" si="0"/>
        <v>276012.42609694588</v>
      </c>
      <c r="G32" s="1"/>
      <c r="H32" s="4">
        <f t="shared" si="1"/>
        <v>0</v>
      </c>
    </row>
    <row r="33" spans="1:8" x14ac:dyDescent="0.25">
      <c r="A33">
        <v>26</v>
      </c>
      <c r="B33" s="1">
        <f t="shared" si="3"/>
        <v>276012.42609694588</v>
      </c>
      <c r="C33" s="8">
        <f>B33*int/12</f>
        <v>1081.0486688797048</v>
      </c>
      <c r="D33" s="8">
        <f>pmt-C33</f>
        <v>849.43963199925179</v>
      </c>
      <c r="E33" s="2">
        <f>IFERROR(IF(MOD(A33, interval)=0, extrapmt, 0), 0)</f>
        <v>0</v>
      </c>
      <c r="F33" s="1">
        <f t="shared" si="0"/>
        <v>275162.98646494665</v>
      </c>
      <c r="G33" s="1"/>
      <c r="H33" s="4">
        <f t="shared" si="1"/>
        <v>0</v>
      </c>
    </row>
    <row r="34" spans="1:8" x14ac:dyDescent="0.25">
      <c r="A34">
        <v>27</v>
      </c>
      <c r="B34" s="1">
        <f t="shared" si="3"/>
        <v>275162.98646494665</v>
      </c>
      <c r="C34" s="8">
        <f>B34*int/12</f>
        <v>1077.7216969877077</v>
      </c>
      <c r="D34" s="8">
        <f>pmt-C34</f>
        <v>852.76660389124891</v>
      </c>
      <c r="E34" s="2">
        <f>IFERROR(IF(MOD(A34, interval)=0, extrapmt, 0), 0)</f>
        <v>500</v>
      </c>
      <c r="F34" s="1">
        <f t="shared" si="0"/>
        <v>273810.21986105538</v>
      </c>
      <c r="G34" s="1"/>
      <c r="H34" s="4">
        <f t="shared" si="1"/>
        <v>0</v>
      </c>
    </row>
    <row r="35" spans="1:8" x14ac:dyDescent="0.25">
      <c r="A35">
        <v>28</v>
      </c>
      <c r="B35" s="1">
        <f t="shared" si="3"/>
        <v>273810.21986105538</v>
      </c>
      <c r="C35" s="8">
        <f>B35*int/12</f>
        <v>1072.423361122467</v>
      </c>
      <c r="D35" s="8">
        <f>pmt-C35</f>
        <v>858.06493975648959</v>
      </c>
      <c r="E35" s="2">
        <f>IFERROR(IF(MOD(A35, interval)=0, extrapmt, 0), 0)</f>
        <v>0</v>
      </c>
      <c r="F35" s="1">
        <f t="shared" si="0"/>
        <v>272952.1549212989</v>
      </c>
      <c r="G35" s="1"/>
      <c r="H35" s="4">
        <f t="shared" si="1"/>
        <v>0</v>
      </c>
    </row>
    <row r="36" spans="1:8" x14ac:dyDescent="0.25">
      <c r="A36">
        <v>29</v>
      </c>
      <c r="B36" s="1">
        <f t="shared" si="3"/>
        <v>272952.1549212989</v>
      </c>
      <c r="C36" s="8">
        <f>B36*int/12</f>
        <v>1069.0626067750875</v>
      </c>
      <c r="D36" s="8">
        <f>pmt-C36</f>
        <v>861.42569410386909</v>
      </c>
      <c r="E36" s="2">
        <f>IFERROR(IF(MOD(A36, interval)=0, extrapmt, 0), 0)</f>
        <v>0</v>
      </c>
      <c r="F36" s="1">
        <f t="shared" si="0"/>
        <v>272090.72922719503</v>
      </c>
      <c r="G36" s="1"/>
      <c r="H36" s="4">
        <f t="shared" si="1"/>
        <v>0</v>
      </c>
    </row>
    <row r="37" spans="1:8" x14ac:dyDescent="0.25">
      <c r="A37">
        <v>30</v>
      </c>
      <c r="B37" s="1">
        <f t="shared" si="3"/>
        <v>272090.72922719503</v>
      </c>
      <c r="C37" s="8">
        <f>B37*int/12</f>
        <v>1065.6886894731806</v>
      </c>
      <c r="D37" s="8">
        <f>pmt-C37</f>
        <v>864.79961140577598</v>
      </c>
      <c r="E37" s="2">
        <f>IFERROR(IF(MOD(A37, interval)=0, extrapmt, 0), 0)</f>
        <v>500</v>
      </c>
      <c r="F37" s="1">
        <f t="shared" si="0"/>
        <v>270725.92961578927</v>
      </c>
      <c r="G37" s="1"/>
      <c r="H37" s="4">
        <f t="shared" si="1"/>
        <v>0</v>
      </c>
    </row>
    <row r="38" spans="1:8" x14ac:dyDescent="0.25">
      <c r="A38">
        <v>31</v>
      </c>
      <c r="B38" s="1">
        <f t="shared" si="3"/>
        <v>270725.92961578927</v>
      </c>
      <c r="C38" s="8">
        <f>B38*int/12</f>
        <v>1060.3432243285081</v>
      </c>
      <c r="D38" s="8">
        <f>pmt-C38</f>
        <v>870.14507655044849</v>
      </c>
      <c r="E38" s="2">
        <f>IFERROR(IF(MOD(A38, interval)=0, extrapmt, 0), 0)</f>
        <v>0</v>
      </c>
      <c r="F38" s="1">
        <f t="shared" si="0"/>
        <v>269855.78453923884</v>
      </c>
      <c r="G38" s="1"/>
      <c r="H38" s="4">
        <f t="shared" si="1"/>
        <v>0</v>
      </c>
    </row>
    <row r="39" spans="1:8" x14ac:dyDescent="0.25">
      <c r="A39">
        <v>32</v>
      </c>
      <c r="B39" s="1">
        <f t="shared" si="3"/>
        <v>269855.78453923884</v>
      </c>
      <c r="C39" s="8">
        <f>B39*int/12</f>
        <v>1056.9351561120188</v>
      </c>
      <c r="D39" s="8">
        <f>pmt-C39</f>
        <v>873.55314476693775</v>
      </c>
      <c r="E39" s="2">
        <f>IFERROR(IF(MOD(A39, interval)=0, extrapmt, 0), 0)</f>
        <v>0</v>
      </c>
      <c r="F39" s="1">
        <f t="shared" si="0"/>
        <v>268982.23139447189</v>
      </c>
      <c r="G39" s="1"/>
      <c r="H39" s="4">
        <f t="shared" si="1"/>
        <v>0</v>
      </c>
    </row>
    <row r="40" spans="1:8" x14ac:dyDescent="0.25">
      <c r="A40">
        <v>33</v>
      </c>
      <c r="B40" s="1">
        <f t="shared" si="3"/>
        <v>268982.23139447189</v>
      </c>
      <c r="C40" s="8">
        <f>B40*int/12</f>
        <v>1053.5137396283483</v>
      </c>
      <c r="D40" s="8">
        <f>pmt-C40</f>
        <v>876.9745612506083</v>
      </c>
      <c r="E40" s="2">
        <f>IFERROR(IF(MOD(A40, interval)=0, extrapmt, 0), 0)</f>
        <v>500</v>
      </c>
      <c r="F40" s="1">
        <f t="shared" si="0"/>
        <v>267605.2568332213</v>
      </c>
      <c r="G40" s="1"/>
      <c r="H40" s="4">
        <f t="shared" si="1"/>
        <v>0</v>
      </c>
    </row>
    <row r="41" spans="1:8" x14ac:dyDescent="0.25">
      <c r="A41">
        <v>34</v>
      </c>
      <c r="B41" s="1">
        <f t="shared" si="3"/>
        <v>267605.2568332213</v>
      </c>
      <c r="C41" s="8">
        <f>B41*int/12</f>
        <v>1048.12058926345</v>
      </c>
      <c r="D41" s="8">
        <f>pmt-C41</f>
        <v>882.36771161550655</v>
      </c>
      <c r="E41" s="2">
        <f>IFERROR(IF(MOD(A41, interval)=0, extrapmt, 0), 0)</f>
        <v>0</v>
      </c>
      <c r="F41" s="1">
        <f t="shared" si="0"/>
        <v>266722.88912160578</v>
      </c>
      <c r="G41" s="1"/>
      <c r="H41" s="4">
        <f t="shared" si="1"/>
        <v>0</v>
      </c>
    </row>
    <row r="42" spans="1:8" x14ac:dyDescent="0.25">
      <c r="A42">
        <v>35</v>
      </c>
      <c r="B42" s="1">
        <f t="shared" si="3"/>
        <v>266722.88912160578</v>
      </c>
      <c r="C42" s="8">
        <f>B42*int/12</f>
        <v>1044.6646490596227</v>
      </c>
      <c r="D42" s="8">
        <f>pmt-C42</f>
        <v>885.82365181933392</v>
      </c>
      <c r="E42" s="2">
        <f>IFERROR(IF(MOD(A42, interval)=0, extrapmt, 0), 0)</f>
        <v>0</v>
      </c>
      <c r="F42" s="1">
        <f t="shared" si="0"/>
        <v>265837.06546978647</v>
      </c>
      <c r="G42" s="1"/>
      <c r="H42" s="4">
        <f t="shared" si="1"/>
        <v>0</v>
      </c>
    </row>
    <row r="43" spans="1:8" x14ac:dyDescent="0.25">
      <c r="A43">
        <v>36</v>
      </c>
      <c r="B43" s="1">
        <f t="shared" si="3"/>
        <v>265837.06546978647</v>
      </c>
      <c r="C43" s="8">
        <f>B43*int/12</f>
        <v>1041.1951730899971</v>
      </c>
      <c r="D43" s="8">
        <f>pmt-C43</f>
        <v>889.29312778895951</v>
      </c>
      <c r="E43" s="2">
        <f>IFERROR(IF(MOD(A43, interval)=0, extrapmt, 0), 0)</f>
        <v>500</v>
      </c>
      <c r="F43" s="1">
        <f t="shared" si="0"/>
        <v>264447.77234199748</v>
      </c>
      <c r="G43" s="1"/>
      <c r="H43" s="4">
        <f t="shared" si="1"/>
        <v>0</v>
      </c>
    </row>
    <row r="44" spans="1:8" x14ac:dyDescent="0.25">
      <c r="A44">
        <v>37</v>
      </c>
      <c r="B44" s="1">
        <f t="shared" si="3"/>
        <v>264447.77234199748</v>
      </c>
      <c r="C44" s="8">
        <f>B44*int/12</f>
        <v>1035.7537750061567</v>
      </c>
      <c r="D44" s="8">
        <f>pmt-C44</f>
        <v>894.73452587279985</v>
      </c>
      <c r="E44" s="2">
        <f>IFERROR(IF(MOD(A44, interval)=0, extrapmt, 0), 0)</f>
        <v>0</v>
      </c>
      <c r="F44" s="1">
        <f t="shared" si="0"/>
        <v>263553.03781612468</v>
      </c>
      <c r="G44" s="1"/>
      <c r="H44" s="4">
        <f t="shared" si="1"/>
        <v>0</v>
      </c>
    </row>
    <row r="45" spans="1:8" x14ac:dyDescent="0.25">
      <c r="A45">
        <v>38</v>
      </c>
      <c r="B45" s="1">
        <f t="shared" si="3"/>
        <v>263553.03781612468</v>
      </c>
      <c r="C45" s="8">
        <f>B45*int/12</f>
        <v>1032.2493981131549</v>
      </c>
      <c r="D45" s="8">
        <f>pmt-C45</f>
        <v>898.23890276580164</v>
      </c>
      <c r="E45" s="2">
        <f>IFERROR(IF(MOD(A45, interval)=0, extrapmt, 0), 0)</f>
        <v>0</v>
      </c>
      <c r="F45" s="1">
        <f t="shared" si="0"/>
        <v>262654.79891335889</v>
      </c>
      <c r="G45" s="1"/>
      <c r="H45" s="4">
        <f t="shared" si="1"/>
        <v>0</v>
      </c>
    </row>
    <row r="46" spans="1:8" x14ac:dyDescent="0.25">
      <c r="A46">
        <v>39</v>
      </c>
      <c r="B46" s="1">
        <f t="shared" si="3"/>
        <v>262654.79891335889</v>
      </c>
      <c r="C46" s="8">
        <f>B46*int/12</f>
        <v>1028.731295743989</v>
      </c>
      <c r="D46" s="8">
        <f>pmt-C46</f>
        <v>901.75700513496759</v>
      </c>
      <c r="E46" s="2">
        <f>IFERROR(IF(MOD(A46, interval)=0, extrapmt, 0), 0)</f>
        <v>500</v>
      </c>
      <c r="F46" s="1">
        <f t="shared" si="0"/>
        <v>261253.04190822391</v>
      </c>
      <c r="G46" s="1"/>
      <c r="H46" s="4">
        <f t="shared" si="1"/>
        <v>0</v>
      </c>
    </row>
    <row r="47" spans="1:8" x14ac:dyDescent="0.25">
      <c r="A47">
        <v>40</v>
      </c>
      <c r="B47" s="1">
        <f t="shared" si="3"/>
        <v>261253.04190822391</v>
      </c>
      <c r="C47" s="8">
        <f>B47*int/12</f>
        <v>1023.2410808072103</v>
      </c>
      <c r="D47" s="8">
        <f>pmt-C47</f>
        <v>907.24722007174626</v>
      </c>
      <c r="E47" s="2">
        <f>IFERROR(IF(MOD(A47, interval)=0, extrapmt, 0), 0)</f>
        <v>0</v>
      </c>
      <c r="F47" s="1">
        <f t="shared" si="0"/>
        <v>260345.79468815215</v>
      </c>
      <c r="G47" s="1"/>
      <c r="H47" s="4">
        <f t="shared" si="1"/>
        <v>0</v>
      </c>
    </row>
    <row r="48" spans="1:8" x14ac:dyDescent="0.25">
      <c r="A48">
        <v>41</v>
      </c>
      <c r="B48" s="1">
        <f t="shared" si="3"/>
        <v>260345.79468815215</v>
      </c>
      <c r="C48" s="8">
        <f>B48*int/12</f>
        <v>1019.6876958619292</v>
      </c>
      <c r="D48" s="8">
        <f>pmt-C48</f>
        <v>910.80060501702735</v>
      </c>
      <c r="E48" s="2">
        <f>IFERROR(IF(MOD(A48, interval)=0, extrapmt, 0), 0)</f>
        <v>0</v>
      </c>
      <c r="F48" s="1">
        <f t="shared" si="0"/>
        <v>259434.99408313513</v>
      </c>
      <c r="G48" s="1"/>
      <c r="H48" s="4">
        <f t="shared" si="1"/>
        <v>0</v>
      </c>
    </row>
    <row r="49" spans="1:8" x14ac:dyDescent="0.25">
      <c r="A49">
        <v>42</v>
      </c>
      <c r="B49" s="1">
        <f t="shared" si="3"/>
        <v>259434.99408313513</v>
      </c>
      <c r="C49" s="8">
        <f>B49*int/12</f>
        <v>1016.1203934922793</v>
      </c>
      <c r="D49" s="8">
        <f>pmt-C49</f>
        <v>914.3679073866773</v>
      </c>
      <c r="E49" s="2">
        <f>IFERROR(IF(MOD(A49, interval)=0, extrapmt, 0), 0)</f>
        <v>500</v>
      </c>
      <c r="F49" s="1">
        <f t="shared" si="0"/>
        <v>258020.62617574845</v>
      </c>
      <c r="G49" s="1"/>
      <c r="H49" s="4">
        <f t="shared" si="1"/>
        <v>0</v>
      </c>
    </row>
    <row r="50" spans="1:8" x14ac:dyDescent="0.25">
      <c r="A50">
        <v>43</v>
      </c>
      <c r="B50" s="1">
        <f t="shared" si="3"/>
        <v>258020.62617574845</v>
      </c>
      <c r="C50" s="8">
        <f>B50*int/12</f>
        <v>1010.5807858550147</v>
      </c>
      <c r="D50" s="8">
        <f>pmt-C50</f>
        <v>919.90751502394187</v>
      </c>
      <c r="E50" s="2">
        <f>IFERROR(IF(MOD(A50, interval)=0, extrapmt, 0), 0)</f>
        <v>0</v>
      </c>
      <c r="F50" s="1">
        <f t="shared" si="0"/>
        <v>257100.71866072449</v>
      </c>
      <c r="G50" s="1"/>
      <c r="H50" s="4">
        <f t="shared" si="1"/>
        <v>0</v>
      </c>
    </row>
    <row r="51" spans="1:8" x14ac:dyDescent="0.25">
      <c r="A51">
        <v>44</v>
      </c>
      <c r="B51" s="1">
        <f t="shared" si="3"/>
        <v>257100.71866072449</v>
      </c>
      <c r="C51" s="8">
        <f>B51*int/12</f>
        <v>1006.9778147545043</v>
      </c>
      <c r="D51" s="8">
        <f>pmt-C51</f>
        <v>923.51048612445231</v>
      </c>
      <c r="E51" s="2">
        <f>IFERROR(IF(MOD(A51, interval)=0, extrapmt, 0), 0)</f>
        <v>0</v>
      </c>
      <c r="F51" s="1">
        <f t="shared" si="0"/>
        <v>256177.20817460003</v>
      </c>
      <c r="G51" s="1"/>
      <c r="H51" s="4">
        <f t="shared" si="1"/>
        <v>0</v>
      </c>
    </row>
    <row r="52" spans="1:8" x14ac:dyDescent="0.25">
      <c r="A52">
        <v>45</v>
      </c>
      <c r="B52" s="1">
        <f t="shared" si="3"/>
        <v>256177.20817460003</v>
      </c>
      <c r="C52" s="8">
        <f>B52*int/12</f>
        <v>1003.3607320171835</v>
      </c>
      <c r="D52" s="8">
        <f>pmt-C52</f>
        <v>927.12756886177306</v>
      </c>
      <c r="E52" s="2">
        <f>IFERROR(IF(MOD(A52, interval)=0, extrapmt, 0), 0)</f>
        <v>500</v>
      </c>
      <c r="F52" s="1">
        <f t="shared" si="0"/>
        <v>254750.08060573827</v>
      </c>
      <c r="G52" s="1"/>
      <c r="H52" s="4">
        <f t="shared" si="1"/>
        <v>0</v>
      </c>
    </row>
    <row r="53" spans="1:8" x14ac:dyDescent="0.25">
      <c r="A53">
        <v>46</v>
      </c>
      <c r="B53" s="1">
        <f t="shared" si="3"/>
        <v>254750.08060573827</v>
      </c>
      <c r="C53" s="8">
        <f>B53*int/12</f>
        <v>997.77114903914162</v>
      </c>
      <c r="D53" s="8">
        <f>pmt-C53</f>
        <v>932.71715183981496</v>
      </c>
      <c r="E53" s="2">
        <f>IFERROR(IF(MOD(A53, interval)=0, extrapmt, 0), 0)</f>
        <v>0</v>
      </c>
      <c r="F53" s="1">
        <f t="shared" si="0"/>
        <v>253817.36345389846</v>
      </c>
      <c r="G53" s="1"/>
      <c r="H53" s="4">
        <f t="shared" si="1"/>
        <v>0</v>
      </c>
    </row>
    <row r="54" spans="1:8" x14ac:dyDescent="0.25">
      <c r="A54">
        <v>47</v>
      </c>
      <c r="B54" s="1">
        <f t="shared" si="3"/>
        <v>253817.36345389846</v>
      </c>
      <c r="C54" s="8">
        <f>B54*int/12</f>
        <v>994.11800686110234</v>
      </c>
      <c r="D54" s="8">
        <f>pmt-C54</f>
        <v>936.37029401785423</v>
      </c>
      <c r="E54" s="2">
        <f>IFERROR(IF(MOD(A54, interval)=0, extrapmt, 0), 0)</f>
        <v>0</v>
      </c>
      <c r="F54" s="1">
        <f t="shared" si="0"/>
        <v>252880.9931598806</v>
      </c>
      <c r="G54" s="1"/>
      <c r="H54" s="4">
        <f t="shared" si="1"/>
        <v>0</v>
      </c>
    </row>
    <row r="55" spans="1:8" x14ac:dyDescent="0.25">
      <c r="A55">
        <v>48</v>
      </c>
      <c r="B55" s="1">
        <f t="shared" si="3"/>
        <v>252880.9931598806</v>
      </c>
      <c r="C55" s="8">
        <f>B55*int/12</f>
        <v>990.45055654286568</v>
      </c>
      <c r="D55" s="8">
        <f>pmt-C55</f>
        <v>940.0377443360909</v>
      </c>
      <c r="E55" s="2">
        <f>IFERROR(IF(MOD(A55, interval)=0, extrapmt, 0), 0)</f>
        <v>500</v>
      </c>
      <c r="F55" s="1">
        <f t="shared" si="0"/>
        <v>251440.95541554451</v>
      </c>
      <c r="G55" s="1"/>
      <c r="H55" s="4">
        <f t="shared" si="1"/>
        <v>0</v>
      </c>
    </row>
    <row r="56" spans="1:8" x14ac:dyDescent="0.25">
      <c r="A56">
        <v>49</v>
      </c>
      <c r="B56" s="1">
        <f t="shared" si="3"/>
        <v>251440.95541554451</v>
      </c>
      <c r="C56" s="8">
        <f>B56*int/12</f>
        <v>984.81040871088271</v>
      </c>
      <c r="D56" s="8">
        <f>pmt-C56</f>
        <v>945.67789216807387</v>
      </c>
      <c r="E56" s="2">
        <f>IFERROR(IF(MOD(A56, interval)=0, extrapmt, 0), 0)</f>
        <v>0</v>
      </c>
      <c r="F56" s="1">
        <f t="shared" si="0"/>
        <v>250495.27752337643</v>
      </c>
      <c r="G56" s="1"/>
      <c r="H56" s="4">
        <f t="shared" si="1"/>
        <v>0</v>
      </c>
    </row>
    <row r="57" spans="1:8" x14ac:dyDescent="0.25">
      <c r="A57">
        <v>50</v>
      </c>
      <c r="B57" s="1">
        <f t="shared" si="3"/>
        <v>250495.27752337643</v>
      </c>
      <c r="C57" s="8">
        <f>B57*int/12</f>
        <v>981.10650363322429</v>
      </c>
      <c r="D57" s="8">
        <f>pmt-C57</f>
        <v>949.38179724573229</v>
      </c>
      <c r="E57" s="2">
        <f>IFERROR(IF(MOD(A57, interval)=0, extrapmt, 0), 0)</f>
        <v>0</v>
      </c>
      <c r="F57" s="1">
        <f t="shared" si="0"/>
        <v>249545.89572613069</v>
      </c>
      <c r="G57" s="1"/>
      <c r="H57" s="4">
        <f t="shared" si="1"/>
        <v>0</v>
      </c>
    </row>
    <row r="58" spans="1:8" x14ac:dyDescent="0.25">
      <c r="A58">
        <v>51</v>
      </c>
      <c r="B58" s="1">
        <f t="shared" si="3"/>
        <v>249545.89572613069</v>
      </c>
      <c r="C58" s="8">
        <f>B58*int/12</f>
        <v>977.38809159401183</v>
      </c>
      <c r="D58" s="8">
        <f>pmt-C58</f>
        <v>953.10020928494475</v>
      </c>
      <c r="E58" s="2">
        <f>IFERROR(IF(MOD(A58, interval)=0, extrapmt, 0), 0)</f>
        <v>500</v>
      </c>
      <c r="F58" s="1">
        <f t="shared" si="0"/>
        <v>248092.79551684574</v>
      </c>
      <c r="G58" s="1"/>
      <c r="H58" s="4">
        <f t="shared" si="1"/>
        <v>0</v>
      </c>
    </row>
    <row r="59" spans="1:8" x14ac:dyDescent="0.25">
      <c r="A59">
        <v>52</v>
      </c>
      <c r="B59" s="1">
        <f t="shared" si="3"/>
        <v>248092.79551684574</v>
      </c>
      <c r="C59" s="8">
        <f>B59*int/12</f>
        <v>971.69678244097906</v>
      </c>
      <c r="D59" s="8">
        <f>pmt-C59</f>
        <v>958.79151843797752</v>
      </c>
      <c r="E59" s="2">
        <f>IFERROR(IF(MOD(A59, interval)=0, extrapmt, 0), 0)</f>
        <v>0</v>
      </c>
      <c r="F59" s="1">
        <f t="shared" si="0"/>
        <v>247134.00399840777</v>
      </c>
      <c r="G59" s="1"/>
      <c r="H59" s="4">
        <f t="shared" si="1"/>
        <v>0</v>
      </c>
    </row>
    <row r="60" spans="1:8" x14ac:dyDescent="0.25">
      <c r="A60">
        <v>53</v>
      </c>
      <c r="B60" s="1">
        <f t="shared" si="3"/>
        <v>247134.00399840777</v>
      </c>
      <c r="C60" s="8">
        <f>B60*int/12</f>
        <v>967.94151566043047</v>
      </c>
      <c r="D60" s="8">
        <f>pmt-C60</f>
        <v>962.54678521852611</v>
      </c>
      <c r="E60" s="2">
        <f>IFERROR(IF(MOD(A60, interval)=0, extrapmt, 0), 0)</f>
        <v>0</v>
      </c>
      <c r="F60" s="1">
        <f t="shared" si="0"/>
        <v>246171.45721318925</v>
      </c>
      <c r="G60" s="1"/>
      <c r="H60" s="4">
        <f t="shared" si="1"/>
        <v>0</v>
      </c>
    </row>
    <row r="61" spans="1:8" x14ac:dyDescent="0.25">
      <c r="A61">
        <v>54</v>
      </c>
      <c r="B61" s="1">
        <f t="shared" si="3"/>
        <v>246171.45721318925</v>
      </c>
      <c r="C61" s="8">
        <f>B61*int/12</f>
        <v>964.17154075165797</v>
      </c>
      <c r="D61" s="8">
        <f>pmt-C61</f>
        <v>966.31676012729861</v>
      </c>
      <c r="E61" s="2">
        <f>IFERROR(IF(MOD(A61, interval)=0, extrapmt, 0), 0)</f>
        <v>500</v>
      </c>
      <c r="F61" s="1">
        <f t="shared" si="0"/>
        <v>244705.14045306196</v>
      </c>
      <c r="G61" s="1"/>
      <c r="H61" s="4">
        <f t="shared" si="1"/>
        <v>0</v>
      </c>
    </row>
    <row r="62" spans="1:8" x14ac:dyDescent="0.25">
      <c r="A62">
        <v>55</v>
      </c>
      <c r="B62" s="1">
        <f t="shared" si="3"/>
        <v>244705.14045306196</v>
      </c>
      <c r="C62" s="8">
        <f>B62*int/12</f>
        <v>958.42846677449268</v>
      </c>
      <c r="D62" s="8">
        <f>pmt-C62</f>
        <v>972.0598341044639</v>
      </c>
      <c r="E62" s="2">
        <f>IFERROR(IF(MOD(A62, interval)=0, extrapmt, 0), 0)</f>
        <v>0</v>
      </c>
      <c r="F62" s="1">
        <f t="shared" si="0"/>
        <v>243733.08061895749</v>
      </c>
      <c r="G62" s="1"/>
      <c r="H62" s="4">
        <f t="shared" si="1"/>
        <v>0</v>
      </c>
    </row>
    <row r="63" spans="1:8" x14ac:dyDescent="0.25">
      <c r="A63">
        <v>56</v>
      </c>
      <c r="B63" s="1">
        <f t="shared" si="3"/>
        <v>243733.08061895749</v>
      </c>
      <c r="C63" s="8">
        <f>B63*int/12</f>
        <v>954.62123242425014</v>
      </c>
      <c r="D63" s="8">
        <f>pmt-C63</f>
        <v>975.86706845470644</v>
      </c>
      <c r="E63" s="2">
        <f>IFERROR(IF(MOD(A63, interval)=0, extrapmt, 0), 0)</f>
        <v>0</v>
      </c>
      <c r="F63" s="1">
        <f t="shared" si="0"/>
        <v>242757.21355050278</v>
      </c>
      <c r="G63" s="1"/>
      <c r="H63" s="4">
        <f t="shared" si="1"/>
        <v>0</v>
      </c>
    </row>
    <row r="64" spans="1:8" x14ac:dyDescent="0.25">
      <c r="A64">
        <v>57</v>
      </c>
      <c r="B64" s="1">
        <f t="shared" si="3"/>
        <v>242757.21355050278</v>
      </c>
      <c r="C64" s="8">
        <f>B64*int/12</f>
        <v>950.79908640613587</v>
      </c>
      <c r="D64" s="8">
        <f>pmt-C64</f>
        <v>979.68921447282071</v>
      </c>
      <c r="E64" s="2">
        <f>IFERROR(IF(MOD(A64, interval)=0, extrapmt, 0), 0)</f>
        <v>500</v>
      </c>
      <c r="F64" s="1">
        <f t="shared" si="0"/>
        <v>241277.52433602995</v>
      </c>
      <c r="G64" s="1"/>
      <c r="H64" s="4">
        <f t="shared" si="1"/>
        <v>0</v>
      </c>
    </row>
    <row r="65" spans="1:8" x14ac:dyDescent="0.25">
      <c r="A65">
        <v>58</v>
      </c>
      <c r="B65" s="1">
        <f t="shared" si="3"/>
        <v>241277.52433602995</v>
      </c>
      <c r="C65" s="8">
        <f>B65*int/12</f>
        <v>945.00363698278397</v>
      </c>
      <c r="D65" s="8">
        <f>pmt-C65</f>
        <v>985.48466389617261</v>
      </c>
      <c r="E65" s="2">
        <f>IFERROR(IF(MOD(A65, interval)=0, extrapmt, 0), 0)</f>
        <v>0</v>
      </c>
      <c r="F65" s="1">
        <f t="shared" si="0"/>
        <v>240292.03967213377</v>
      </c>
      <c r="G65" s="1"/>
      <c r="H65" s="4">
        <f t="shared" si="1"/>
        <v>0</v>
      </c>
    </row>
    <row r="66" spans="1:8" x14ac:dyDescent="0.25">
      <c r="A66">
        <v>59</v>
      </c>
      <c r="B66" s="1">
        <f t="shared" si="3"/>
        <v>240292.03967213377</v>
      </c>
      <c r="C66" s="8">
        <f>B66*int/12</f>
        <v>941.14382204919059</v>
      </c>
      <c r="D66" s="8">
        <f>pmt-C66</f>
        <v>989.34447882976599</v>
      </c>
      <c r="E66" s="2">
        <f>IFERROR(IF(MOD(A66, interval)=0, extrapmt, 0), 0)</f>
        <v>0</v>
      </c>
      <c r="F66" s="1">
        <f t="shared" si="0"/>
        <v>239302.69519330401</v>
      </c>
      <c r="G66" s="1"/>
      <c r="H66" s="4">
        <f t="shared" si="1"/>
        <v>0</v>
      </c>
    </row>
    <row r="67" spans="1:8" x14ac:dyDescent="0.25">
      <c r="A67">
        <v>60</v>
      </c>
      <c r="B67" s="1">
        <f t="shared" si="3"/>
        <v>239302.69519330401</v>
      </c>
      <c r="C67" s="8">
        <f>B67*int/12</f>
        <v>937.26888950710736</v>
      </c>
      <c r="D67" s="8">
        <f>pmt-C67</f>
        <v>993.21941137184922</v>
      </c>
      <c r="E67" s="2">
        <f>IFERROR(IF(MOD(A67, interval)=0, extrapmt, 0), 0)</f>
        <v>500</v>
      </c>
      <c r="F67" s="1">
        <f t="shared" si="0"/>
        <v>237809.47578193215</v>
      </c>
      <c r="G67" s="1"/>
      <c r="H67" s="4">
        <f t="shared" si="1"/>
        <v>0</v>
      </c>
    </row>
    <row r="68" spans="1:8" x14ac:dyDescent="0.25">
      <c r="A68">
        <v>61</v>
      </c>
      <c r="B68" s="1">
        <f t="shared" si="3"/>
        <v>237809.47578193215</v>
      </c>
      <c r="C68" s="8">
        <f>B68*int/12</f>
        <v>931.42044681256766</v>
      </c>
      <c r="D68" s="8">
        <f>pmt-C68</f>
        <v>999.06785406638892</v>
      </c>
      <c r="E68" s="2">
        <f>IFERROR(IF(MOD(A68, interval)=0, extrapmt, 0), 0)</f>
        <v>0</v>
      </c>
      <c r="F68" s="1">
        <f t="shared" si="0"/>
        <v>236810.40792786577</v>
      </c>
      <c r="G68" s="1"/>
      <c r="H68" s="4">
        <f t="shared" si="1"/>
        <v>0</v>
      </c>
    </row>
    <row r="69" spans="1:8" x14ac:dyDescent="0.25">
      <c r="A69">
        <v>62</v>
      </c>
      <c r="B69" s="1">
        <f t="shared" si="3"/>
        <v>236810.40792786577</v>
      </c>
      <c r="C69" s="8">
        <f>B69*int/12</f>
        <v>927.50743105080755</v>
      </c>
      <c r="D69" s="8">
        <f>pmt-C69</f>
        <v>1002.980869828149</v>
      </c>
      <c r="E69" s="2">
        <f>IFERROR(IF(MOD(A69, interval)=0, extrapmt, 0), 0)</f>
        <v>0</v>
      </c>
      <c r="F69" s="1">
        <f t="shared" si="0"/>
        <v>235807.42705803763</v>
      </c>
      <c r="G69" s="1"/>
      <c r="H69" s="4">
        <f t="shared" si="1"/>
        <v>0</v>
      </c>
    </row>
    <row r="70" spans="1:8" x14ac:dyDescent="0.25">
      <c r="A70">
        <v>63</v>
      </c>
      <c r="B70" s="1">
        <f t="shared" si="3"/>
        <v>235807.42705803763</v>
      </c>
      <c r="C70" s="8">
        <f>B70*int/12</f>
        <v>923.57908931064742</v>
      </c>
      <c r="D70" s="8">
        <f>pmt-C70</f>
        <v>1006.9092115683092</v>
      </c>
      <c r="E70" s="2">
        <f>IFERROR(IF(MOD(A70, interval)=0, extrapmt, 0), 0)</f>
        <v>500</v>
      </c>
      <c r="F70" s="1">
        <f t="shared" si="0"/>
        <v>234300.51784646933</v>
      </c>
      <c r="G70" s="1"/>
      <c r="H70" s="4">
        <f t="shared" si="1"/>
        <v>0</v>
      </c>
    </row>
    <row r="71" spans="1:8" x14ac:dyDescent="0.25">
      <c r="A71">
        <v>64</v>
      </c>
      <c r="B71" s="1">
        <f t="shared" si="3"/>
        <v>234300.51784646933</v>
      </c>
      <c r="C71" s="8">
        <f>B71*int/12</f>
        <v>917.67702823200489</v>
      </c>
      <c r="D71" s="8">
        <f>pmt-C71</f>
        <v>1012.8112726469517</v>
      </c>
      <c r="E71" s="2">
        <f>IFERROR(IF(MOD(A71, interval)=0, extrapmt, 0), 0)</f>
        <v>0</v>
      </c>
      <c r="F71" s="1">
        <f t="shared" si="0"/>
        <v>233287.70657382239</v>
      </c>
      <c r="G71" s="1"/>
      <c r="H71" s="4">
        <f t="shared" si="1"/>
        <v>0</v>
      </c>
    </row>
    <row r="72" spans="1:8" x14ac:dyDescent="0.25">
      <c r="A72">
        <v>65</v>
      </c>
      <c r="B72" s="1">
        <f t="shared" si="3"/>
        <v>233287.70657382239</v>
      </c>
      <c r="C72" s="8">
        <f>B72*int/12</f>
        <v>913.71018408080442</v>
      </c>
      <c r="D72" s="8">
        <f>pmt-C72</f>
        <v>1016.7781167981522</v>
      </c>
      <c r="E72" s="2">
        <f>IFERROR(IF(MOD(A72, interval)=0, extrapmt, 0), 0)</f>
        <v>0</v>
      </c>
      <c r="F72" s="1">
        <f t="shared" si="0"/>
        <v>232270.92845702425</v>
      </c>
      <c r="G72" s="1"/>
      <c r="H72" s="4">
        <f t="shared" si="1"/>
        <v>0</v>
      </c>
    </row>
    <row r="73" spans="1:8" x14ac:dyDescent="0.25">
      <c r="A73">
        <v>66</v>
      </c>
      <c r="B73" s="1">
        <f t="shared" si="3"/>
        <v>232270.92845702425</v>
      </c>
      <c r="C73" s="8">
        <f>B73*int/12</f>
        <v>909.72780312334498</v>
      </c>
      <c r="D73" s="8">
        <f>pmt-C73</f>
        <v>1020.7604977556116</v>
      </c>
      <c r="E73" s="2">
        <f>IFERROR(IF(MOD(A73, interval)=0, extrapmt, 0), 0)</f>
        <v>500</v>
      </c>
      <c r="F73" s="1">
        <f t="shared" ref="F73:F136" si="4">IF(B73-D73-E73&lt;0, 0, B73-D73-E73)</f>
        <v>230750.16795926864</v>
      </c>
      <c r="G73" s="1"/>
      <c r="H73" s="4">
        <f t="shared" ref="H73:H136" si="5">(F73&gt;0)*(F74=0)</f>
        <v>0</v>
      </c>
    </row>
    <row r="74" spans="1:8" x14ac:dyDescent="0.25">
      <c r="A74">
        <v>67</v>
      </c>
      <c r="B74" s="1">
        <f t="shared" si="3"/>
        <v>230750.16795926864</v>
      </c>
      <c r="C74" s="8">
        <f>B74*int/12</f>
        <v>903.77149117380213</v>
      </c>
      <c r="D74" s="8">
        <f>pmt-C74</f>
        <v>1026.7168097051544</v>
      </c>
      <c r="E74" s="2">
        <f>IFERROR(IF(MOD(A74, interval)=0, extrapmt, 0), 0)</f>
        <v>0</v>
      </c>
      <c r="F74" s="1">
        <f t="shared" si="4"/>
        <v>229723.45114956348</v>
      </c>
      <c r="G74" s="1"/>
      <c r="H74" s="4">
        <f t="shared" si="5"/>
        <v>0</v>
      </c>
    </row>
    <row r="75" spans="1:8" x14ac:dyDescent="0.25">
      <c r="A75">
        <v>68</v>
      </c>
      <c r="B75" s="1">
        <f t="shared" si="3"/>
        <v>229723.45114956348</v>
      </c>
      <c r="C75" s="8">
        <f>B75*int/12</f>
        <v>899.75018366912366</v>
      </c>
      <c r="D75" s="8">
        <f>pmt-C75</f>
        <v>1030.738117209833</v>
      </c>
      <c r="E75" s="2">
        <f>IFERROR(IF(MOD(A75, interval)=0, extrapmt, 0), 0)</f>
        <v>0</v>
      </c>
      <c r="F75" s="1">
        <f t="shared" si="4"/>
        <v>228692.71303235364</v>
      </c>
      <c r="G75" s="1"/>
      <c r="H75" s="4">
        <f t="shared" si="5"/>
        <v>0</v>
      </c>
    </row>
    <row r="76" spans="1:8" x14ac:dyDescent="0.25">
      <c r="A76">
        <v>69</v>
      </c>
      <c r="B76" s="1">
        <f t="shared" ref="B76:B139" si="6">F75</f>
        <v>228692.71303235364</v>
      </c>
      <c r="C76" s="8">
        <f>B76*int/12</f>
        <v>895.71312604338516</v>
      </c>
      <c r="D76" s="8">
        <f>pmt-C76</f>
        <v>1034.7751748355713</v>
      </c>
      <c r="E76" s="2">
        <f>IFERROR(IF(MOD(A76, interval)=0, extrapmt, 0), 0)</f>
        <v>500</v>
      </c>
      <c r="F76" s="1">
        <f t="shared" si="4"/>
        <v>227157.93785751806</v>
      </c>
      <c r="G76" s="1"/>
      <c r="H76" s="4">
        <f t="shared" si="5"/>
        <v>0</v>
      </c>
    </row>
    <row r="77" spans="1:8" x14ac:dyDescent="0.25">
      <c r="A77">
        <v>70</v>
      </c>
      <c r="B77" s="1">
        <f t="shared" si="6"/>
        <v>227157.93785751806</v>
      </c>
      <c r="C77" s="8">
        <f>B77*int/12</f>
        <v>889.70192327527911</v>
      </c>
      <c r="D77" s="8">
        <f>pmt-C77</f>
        <v>1040.7863776036775</v>
      </c>
      <c r="E77" s="2">
        <f>IFERROR(IF(MOD(A77, interval)=0, extrapmt, 0), 0)</f>
        <v>0</v>
      </c>
      <c r="F77" s="1">
        <f t="shared" si="4"/>
        <v>226117.15147991438</v>
      </c>
      <c r="G77" s="1"/>
      <c r="H77" s="4">
        <f t="shared" si="5"/>
        <v>0</v>
      </c>
    </row>
    <row r="78" spans="1:8" x14ac:dyDescent="0.25">
      <c r="A78">
        <v>71</v>
      </c>
      <c r="B78" s="1">
        <f t="shared" si="6"/>
        <v>226117.15147991438</v>
      </c>
      <c r="C78" s="8">
        <f>B78*int/12</f>
        <v>885.62550996299797</v>
      </c>
      <c r="D78" s="8">
        <f>pmt-C78</f>
        <v>1044.8627909159586</v>
      </c>
      <c r="E78" s="2">
        <f>IFERROR(IF(MOD(A78, interval)=0, extrapmt, 0), 0)</f>
        <v>0</v>
      </c>
      <c r="F78" s="1">
        <f t="shared" si="4"/>
        <v>225072.28868899841</v>
      </c>
      <c r="G78" s="1"/>
      <c r="H78" s="4">
        <f t="shared" si="5"/>
        <v>0</v>
      </c>
    </row>
    <row r="79" spans="1:8" x14ac:dyDescent="0.25">
      <c r="A79">
        <v>72</v>
      </c>
      <c r="B79" s="1">
        <f t="shared" si="6"/>
        <v>225072.28868899841</v>
      </c>
      <c r="C79" s="8">
        <f>B79*int/12</f>
        <v>881.53313069857711</v>
      </c>
      <c r="D79" s="8">
        <f>pmt-C79</f>
        <v>1048.9551701803794</v>
      </c>
      <c r="E79" s="2">
        <f>IFERROR(IF(MOD(A79, interval)=0, extrapmt, 0), 0)</f>
        <v>500</v>
      </c>
      <c r="F79" s="1">
        <f t="shared" si="4"/>
        <v>223523.33351881802</v>
      </c>
      <c r="G79" s="1"/>
      <c r="H79" s="4">
        <f t="shared" si="5"/>
        <v>0</v>
      </c>
    </row>
    <row r="80" spans="1:8" x14ac:dyDescent="0.25">
      <c r="A80">
        <v>73</v>
      </c>
      <c r="B80" s="1">
        <f t="shared" si="6"/>
        <v>223523.33351881802</v>
      </c>
      <c r="C80" s="8">
        <f>B80*int/12</f>
        <v>875.46638961537064</v>
      </c>
      <c r="D80" s="8">
        <f>pmt-C80</f>
        <v>1055.0219112635859</v>
      </c>
      <c r="E80" s="2">
        <f>IFERROR(IF(MOD(A80, interval)=0, extrapmt, 0), 0)</f>
        <v>0</v>
      </c>
      <c r="F80" s="1">
        <f t="shared" si="4"/>
        <v>222468.31160755444</v>
      </c>
      <c r="G80" s="1"/>
      <c r="H80" s="4">
        <f t="shared" si="5"/>
        <v>0</v>
      </c>
    </row>
    <row r="81" spans="1:8" x14ac:dyDescent="0.25">
      <c r="A81">
        <v>74</v>
      </c>
      <c r="B81" s="1">
        <f t="shared" si="6"/>
        <v>222468.31160755444</v>
      </c>
      <c r="C81" s="8">
        <f>B81*int/12</f>
        <v>871.33422046292162</v>
      </c>
      <c r="D81" s="8">
        <f>pmt-C81</f>
        <v>1059.154080416035</v>
      </c>
      <c r="E81" s="2">
        <f>IFERROR(IF(MOD(A81, interval)=0, extrapmt, 0), 0)</f>
        <v>0</v>
      </c>
      <c r="F81" s="1">
        <f t="shared" si="4"/>
        <v>221409.15752713839</v>
      </c>
      <c r="G81" s="1"/>
      <c r="H81" s="4">
        <f t="shared" si="5"/>
        <v>0</v>
      </c>
    </row>
    <row r="82" spans="1:8" x14ac:dyDescent="0.25">
      <c r="A82">
        <v>75</v>
      </c>
      <c r="B82" s="1">
        <f t="shared" si="6"/>
        <v>221409.15752713839</v>
      </c>
      <c r="C82" s="8">
        <f>B82*int/12</f>
        <v>867.18586698129195</v>
      </c>
      <c r="D82" s="8">
        <f>pmt-C82</f>
        <v>1063.3024338976647</v>
      </c>
      <c r="E82" s="2">
        <f>IFERROR(IF(MOD(A82, interval)=0, extrapmt, 0), 0)</f>
        <v>500</v>
      </c>
      <c r="F82" s="1">
        <f t="shared" si="4"/>
        <v>219845.85509324074</v>
      </c>
      <c r="G82" s="1"/>
      <c r="H82" s="4">
        <f t="shared" si="5"/>
        <v>0</v>
      </c>
    </row>
    <row r="83" spans="1:8" x14ac:dyDescent="0.25">
      <c r="A83">
        <v>76</v>
      </c>
      <c r="B83" s="1">
        <f t="shared" si="6"/>
        <v>219845.85509324074</v>
      </c>
      <c r="C83" s="8">
        <f>B83*int/12</f>
        <v>861.06293244852623</v>
      </c>
      <c r="D83" s="8">
        <f>pmt-C83</f>
        <v>1069.4253684304304</v>
      </c>
      <c r="E83" s="2">
        <f>IFERROR(IF(MOD(A83, interval)=0, extrapmt, 0), 0)</f>
        <v>0</v>
      </c>
      <c r="F83" s="1">
        <f t="shared" si="4"/>
        <v>218776.4297248103</v>
      </c>
      <c r="G83" s="1"/>
      <c r="H83" s="4">
        <f t="shared" si="5"/>
        <v>0</v>
      </c>
    </row>
    <row r="84" spans="1:8" x14ac:dyDescent="0.25">
      <c r="A84">
        <v>77</v>
      </c>
      <c r="B84" s="1">
        <f t="shared" si="6"/>
        <v>218776.4297248103</v>
      </c>
      <c r="C84" s="8">
        <f>B84*int/12</f>
        <v>856.87434975550696</v>
      </c>
      <c r="D84" s="8">
        <f>pmt-C84</f>
        <v>1073.6139511234496</v>
      </c>
      <c r="E84" s="2">
        <f>IFERROR(IF(MOD(A84, interval)=0, extrapmt, 0), 0)</f>
        <v>0</v>
      </c>
      <c r="F84" s="1">
        <f t="shared" si="4"/>
        <v>217702.81577368686</v>
      </c>
      <c r="G84" s="1"/>
      <c r="H84" s="4">
        <f t="shared" si="5"/>
        <v>0</v>
      </c>
    </row>
    <row r="85" spans="1:8" x14ac:dyDescent="0.25">
      <c r="A85">
        <v>78</v>
      </c>
      <c r="B85" s="1">
        <f t="shared" si="6"/>
        <v>217702.81577368686</v>
      </c>
      <c r="C85" s="8">
        <f>B85*int/12</f>
        <v>852.66936178027356</v>
      </c>
      <c r="D85" s="8">
        <f>pmt-C85</f>
        <v>1077.8189390986831</v>
      </c>
      <c r="E85" s="2">
        <f>IFERROR(IF(MOD(A85, interval)=0, extrapmt, 0), 0)</f>
        <v>500</v>
      </c>
      <c r="F85" s="1">
        <f t="shared" si="4"/>
        <v>216124.99683458818</v>
      </c>
      <c r="G85" s="1"/>
      <c r="H85" s="4">
        <f t="shared" si="5"/>
        <v>0</v>
      </c>
    </row>
    <row r="86" spans="1:8" x14ac:dyDescent="0.25">
      <c r="A86">
        <v>79</v>
      </c>
      <c r="B86" s="1">
        <f t="shared" si="6"/>
        <v>216124.99683458818</v>
      </c>
      <c r="C86" s="8">
        <f>B86*int/12</f>
        <v>846.4895709354704</v>
      </c>
      <c r="D86" s="8">
        <f>pmt-C86</f>
        <v>1083.9987299434861</v>
      </c>
      <c r="E86" s="2">
        <f>IFERROR(IF(MOD(A86, interval)=0, extrapmt, 0), 0)</f>
        <v>0</v>
      </c>
      <c r="F86" s="1">
        <f t="shared" si="4"/>
        <v>215040.99810464471</v>
      </c>
      <c r="G86" s="1"/>
      <c r="H86" s="4">
        <f t="shared" si="5"/>
        <v>0</v>
      </c>
    </row>
    <row r="87" spans="1:8" x14ac:dyDescent="0.25">
      <c r="A87">
        <v>80</v>
      </c>
      <c r="B87" s="1">
        <f t="shared" si="6"/>
        <v>215040.99810464471</v>
      </c>
      <c r="C87" s="8">
        <f>B87*int/12</f>
        <v>842.24390924319175</v>
      </c>
      <c r="D87" s="8">
        <f>pmt-C87</f>
        <v>1088.2443916357647</v>
      </c>
      <c r="E87" s="2">
        <f>IFERROR(IF(MOD(A87, interval)=0, extrapmt, 0), 0)</f>
        <v>0</v>
      </c>
      <c r="F87" s="1">
        <f t="shared" si="4"/>
        <v>213952.75371300895</v>
      </c>
      <c r="G87" s="1"/>
      <c r="H87" s="4">
        <f t="shared" si="5"/>
        <v>0</v>
      </c>
    </row>
    <row r="88" spans="1:8" x14ac:dyDescent="0.25">
      <c r="A88">
        <v>81</v>
      </c>
      <c r="B88" s="1">
        <f t="shared" si="6"/>
        <v>213952.75371300895</v>
      </c>
      <c r="C88" s="8">
        <f>B88*int/12</f>
        <v>837.98161870928504</v>
      </c>
      <c r="D88" s="8">
        <f>pmt-C88</f>
        <v>1092.5066821696714</v>
      </c>
      <c r="E88" s="2">
        <f>IFERROR(IF(MOD(A88, interval)=0, extrapmt, 0), 0)</f>
        <v>500</v>
      </c>
      <c r="F88" s="1">
        <f t="shared" si="4"/>
        <v>212360.24703083927</v>
      </c>
      <c r="G88" s="1"/>
      <c r="H88" s="4">
        <f t="shared" si="5"/>
        <v>0</v>
      </c>
    </row>
    <row r="89" spans="1:8" x14ac:dyDescent="0.25">
      <c r="A89">
        <v>82</v>
      </c>
      <c r="B89" s="1">
        <f t="shared" si="6"/>
        <v>212360.24703083927</v>
      </c>
      <c r="C89" s="8">
        <f>B89*int/12</f>
        <v>831.74430087078701</v>
      </c>
      <c r="D89" s="8">
        <f>pmt-C89</f>
        <v>1098.7440000081697</v>
      </c>
      <c r="E89" s="2">
        <f>IFERROR(IF(MOD(A89, interval)=0, extrapmt, 0), 0)</f>
        <v>0</v>
      </c>
      <c r="F89" s="1">
        <f t="shared" si="4"/>
        <v>211261.50303083111</v>
      </c>
      <c r="G89" s="1"/>
      <c r="H89" s="4">
        <f t="shared" si="5"/>
        <v>0</v>
      </c>
    </row>
    <row r="90" spans="1:8" x14ac:dyDescent="0.25">
      <c r="A90">
        <v>83</v>
      </c>
      <c r="B90" s="1">
        <f t="shared" si="6"/>
        <v>211261.50303083111</v>
      </c>
      <c r="C90" s="8">
        <f>B90*int/12</f>
        <v>827.44088687075521</v>
      </c>
      <c r="D90" s="8">
        <f>pmt-C90</f>
        <v>1103.0474140082015</v>
      </c>
      <c r="E90" s="2">
        <f>IFERROR(IF(MOD(A90, interval)=0, extrapmt, 0), 0)</f>
        <v>0</v>
      </c>
      <c r="F90" s="1">
        <f t="shared" si="4"/>
        <v>210158.4556168229</v>
      </c>
      <c r="G90" s="1"/>
      <c r="H90" s="4">
        <f t="shared" si="5"/>
        <v>0</v>
      </c>
    </row>
    <row r="91" spans="1:8" x14ac:dyDescent="0.25">
      <c r="A91">
        <v>84</v>
      </c>
      <c r="B91" s="1">
        <f t="shared" si="6"/>
        <v>210158.4556168229</v>
      </c>
      <c r="C91" s="8">
        <f>B91*int/12</f>
        <v>823.12061783255638</v>
      </c>
      <c r="D91" s="8">
        <f>pmt-C91</f>
        <v>1107.3676830464001</v>
      </c>
      <c r="E91" s="2">
        <f>IFERROR(IF(MOD(A91, interval)=0, extrapmt, 0), 0)</f>
        <v>500</v>
      </c>
      <c r="F91" s="1">
        <f t="shared" si="4"/>
        <v>208551.08793377649</v>
      </c>
      <c r="G91" s="1"/>
      <c r="H91" s="4">
        <f t="shared" si="5"/>
        <v>0</v>
      </c>
    </row>
    <row r="92" spans="1:8" x14ac:dyDescent="0.25">
      <c r="A92">
        <v>85</v>
      </c>
      <c r="B92" s="1">
        <f t="shared" si="6"/>
        <v>208551.08793377649</v>
      </c>
      <c r="C92" s="8">
        <f>B92*int/12</f>
        <v>816.8250944072912</v>
      </c>
      <c r="D92" s="8">
        <f>pmt-C92</f>
        <v>1113.6632064716655</v>
      </c>
      <c r="E92" s="2">
        <f>IFERROR(IF(MOD(A92, interval)=0, extrapmt, 0), 0)</f>
        <v>0</v>
      </c>
      <c r="F92" s="1">
        <f t="shared" si="4"/>
        <v>207437.42472730484</v>
      </c>
      <c r="G92" s="1"/>
      <c r="H92" s="4">
        <f t="shared" si="5"/>
        <v>0</v>
      </c>
    </row>
    <row r="93" spans="1:8" x14ac:dyDescent="0.25">
      <c r="A93">
        <v>86</v>
      </c>
      <c r="B93" s="1">
        <f t="shared" si="6"/>
        <v>207437.42472730484</v>
      </c>
      <c r="C93" s="8">
        <f>B93*int/12</f>
        <v>812.46324684861065</v>
      </c>
      <c r="D93" s="8">
        <f>pmt-C93</f>
        <v>1118.0250540303459</v>
      </c>
      <c r="E93" s="2">
        <f>IFERROR(IF(MOD(A93, interval)=0, extrapmt, 0), 0)</f>
        <v>0</v>
      </c>
      <c r="F93" s="1">
        <f t="shared" si="4"/>
        <v>206319.39967327449</v>
      </c>
      <c r="G93" s="1"/>
      <c r="H93" s="4">
        <f t="shared" si="5"/>
        <v>0</v>
      </c>
    </row>
    <row r="94" spans="1:8" x14ac:dyDescent="0.25">
      <c r="A94">
        <v>87</v>
      </c>
      <c r="B94" s="1">
        <f t="shared" si="6"/>
        <v>206319.39967327449</v>
      </c>
      <c r="C94" s="8">
        <f>B94*int/12</f>
        <v>808.08431538699176</v>
      </c>
      <c r="D94" s="8">
        <f>pmt-C94</f>
        <v>1122.4039854919647</v>
      </c>
      <c r="E94" s="2">
        <f>IFERROR(IF(MOD(A94, interval)=0, extrapmt, 0), 0)</f>
        <v>500</v>
      </c>
      <c r="F94" s="1">
        <f t="shared" si="4"/>
        <v>204696.99568778253</v>
      </c>
      <c r="G94" s="1"/>
      <c r="H94" s="4">
        <f t="shared" si="5"/>
        <v>0</v>
      </c>
    </row>
    <row r="95" spans="1:8" x14ac:dyDescent="0.25">
      <c r="A95">
        <v>88</v>
      </c>
      <c r="B95" s="1">
        <f t="shared" si="6"/>
        <v>204696.99568778253</v>
      </c>
      <c r="C95" s="8">
        <f>B95*int/12</f>
        <v>801.72989977714826</v>
      </c>
      <c r="D95" s="8">
        <f>pmt-C95</f>
        <v>1128.7584011018084</v>
      </c>
      <c r="E95" s="2">
        <f>IFERROR(IF(MOD(A95, interval)=0, extrapmt, 0), 0)</f>
        <v>0</v>
      </c>
      <c r="F95" s="1">
        <f t="shared" si="4"/>
        <v>203568.23728668073</v>
      </c>
      <c r="G95" s="1"/>
      <c r="H95" s="4">
        <f t="shared" si="5"/>
        <v>0</v>
      </c>
    </row>
    <row r="96" spans="1:8" x14ac:dyDescent="0.25">
      <c r="A96">
        <v>89</v>
      </c>
      <c r="B96" s="1">
        <f t="shared" si="6"/>
        <v>203568.23728668073</v>
      </c>
      <c r="C96" s="8">
        <f>B96*int/12</f>
        <v>797.30892937283295</v>
      </c>
      <c r="D96" s="8">
        <f>pmt-C96</f>
        <v>1133.1793715061235</v>
      </c>
      <c r="E96" s="2">
        <f>IFERROR(IF(MOD(A96, interval)=0, extrapmt, 0), 0)</f>
        <v>0</v>
      </c>
      <c r="F96" s="1">
        <f t="shared" si="4"/>
        <v>202435.05791517461</v>
      </c>
      <c r="G96" s="1"/>
      <c r="H96" s="4">
        <f t="shared" si="5"/>
        <v>0</v>
      </c>
    </row>
    <row r="97" spans="1:8" x14ac:dyDescent="0.25">
      <c r="A97">
        <v>90</v>
      </c>
      <c r="B97" s="1">
        <f t="shared" si="6"/>
        <v>202435.05791517461</v>
      </c>
      <c r="C97" s="8">
        <f>B97*int/12</f>
        <v>792.87064350110052</v>
      </c>
      <c r="D97" s="8">
        <f>pmt-C97</f>
        <v>1137.6176573778562</v>
      </c>
      <c r="E97" s="2">
        <f>IFERROR(IF(MOD(A97, interval)=0, extrapmt, 0), 0)</f>
        <v>500</v>
      </c>
      <c r="F97" s="1">
        <f t="shared" si="4"/>
        <v>200797.44025779676</v>
      </c>
      <c r="G97" s="1"/>
      <c r="H97" s="4">
        <f t="shared" si="5"/>
        <v>0</v>
      </c>
    </row>
    <row r="98" spans="1:8" x14ac:dyDescent="0.25">
      <c r="A98">
        <v>91</v>
      </c>
      <c r="B98" s="1">
        <f t="shared" si="6"/>
        <v>200797.44025779676</v>
      </c>
      <c r="C98" s="8">
        <f>B98*int/12</f>
        <v>786.45664100970396</v>
      </c>
      <c r="D98" s="8">
        <f>pmt-C98</f>
        <v>1144.0316598692525</v>
      </c>
      <c r="E98" s="2">
        <f>IFERROR(IF(MOD(A98, interval)=0, extrapmt, 0), 0)</f>
        <v>0</v>
      </c>
      <c r="F98" s="1">
        <f t="shared" si="4"/>
        <v>199653.40859792751</v>
      </c>
      <c r="G98" s="1"/>
      <c r="H98" s="4">
        <f t="shared" si="5"/>
        <v>0</v>
      </c>
    </row>
    <row r="99" spans="1:8" x14ac:dyDescent="0.25">
      <c r="A99">
        <v>92</v>
      </c>
      <c r="B99" s="1">
        <f t="shared" si="6"/>
        <v>199653.40859792751</v>
      </c>
      <c r="C99" s="8">
        <f>B99*int/12</f>
        <v>781.97585034188285</v>
      </c>
      <c r="D99" s="8">
        <f>pmt-C99</f>
        <v>1148.5124505370736</v>
      </c>
      <c r="E99" s="2">
        <f>IFERROR(IF(MOD(A99, interval)=0, extrapmt, 0), 0)</f>
        <v>0</v>
      </c>
      <c r="F99" s="1">
        <f t="shared" si="4"/>
        <v>198504.89614739045</v>
      </c>
      <c r="G99" s="1"/>
      <c r="H99" s="4">
        <f t="shared" si="5"/>
        <v>0</v>
      </c>
    </row>
    <row r="100" spans="1:8" x14ac:dyDescent="0.25">
      <c r="A100">
        <v>93</v>
      </c>
      <c r="B100" s="1">
        <f t="shared" si="6"/>
        <v>198504.89614739045</v>
      </c>
      <c r="C100" s="8">
        <f>B100*int/12</f>
        <v>777.47750991061264</v>
      </c>
      <c r="D100" s="8">
        <f>pmt-C100</f>
        <v>1153.0107909683438</v>
      </c>
      <c r="E100" s="2">
        <f>IFERROR(IF(MOD(A100, interval)=0, extrapmt, 0), 0)</f>
        <v>500</v>
      </c>
      <c r="F100" s="1">
        <f t="shared" si="4"/>
        <v>196851.88535642211</v>
      </c>
      <c r="G100" s="1"/>
      <c r="H100" s="4">
        <f t="shared" si="5"/>
        <v>0</v>
      </c>
    </row>
    <row r="101" spans="1:8" x14ac:dyDescent="0.25">
      <c r="A101">
        <v>94</v>
      </c>
      <c r="B101" s="1">
        <f t="shared" si="6"/>
        <v>196851.88535642211</v>
      </c>
      <c r="C101" s="8">
        <f>B101*int/12</f>
        <v>771.00321764598664</v>
      </c>
      <c r="D101" s="8">
        <f>pmt-C101</f>
        <v>1159.4850832329698</v>
      </c>
      <c r="E101" s="2">
        <f>IFERROR(IF(MOD(A101, interval)=0, extrapmt, 0), 0)</f>
        <v>0</v>
      </c>
      <c r="F101" s="1">
        <f t="shared" si="4"/>
        <v>195692.40027318912</v>
      </c>
      <c r="G101" s="1"/>
      <c r="H101" s="4">
        <f t="shared" si="5"/>
        <v>0</v>
      </c>
    </row>
    <row r="102" spans="1:8" x14ac:dyDescent="0.25">
      <c r="A102">
        <v>95</v>
      </c>
      <c r="B102" s="1">
        <f t="shared" si="6"/>
        <v>195692.40027318912</v>
      </c>
      <c r="C102" s="8">
        <f>B102*int/12</f>
        <v>766.46190106999074</v>
      </c>
      <c r="D102" s="8">
        <f>pmt-C102</f>
        <v>1164.0263998089658</v>
      </c>
      <c r="E102" s="2">
        <f>IFERROR(IF(MOD(A102, interval)=0, extrapmt, 0), 0)</f>
        <v>0</v>
      </c>
      <c r="F102" s="1">
        <f t="shared" si="4"/>
        <v>194528.37387338016</v>
      </c>
      <c r="G102" s="1"/>
      <c r="H102" s="4">
        <f t="shared" si="5"/>
        <v>0</v>
      </c>
    </row>
    <row r="103" spans="1:8" x14ac:dyDescent="0.25">
      <c r="A103">
        <v>96</v>
      </c>
      <c r="B103" s="1">
        <f t="shared" si="6"/>
        <v>194528.37387338016</v>
      </c>
      <c r="C103" s="8">
        <f>B103*int/12</f>
        <v>761.90279767073889</v>
      </c>
      <c r="D103" s="8">
        <f>pmt-C103</f>
        <v>1168.5855032082177</v>
      </c>
      <c r="E103" s="2">
        <f>IFERROR(IF(MOD(A103, interval)=0, extrapmt, 0), 0)</f>
        <v>500</v>
      </c>
      <c r="F103" s="1">
        <f t="shared" si="4"/>
        <v>192859.78837017194</v>
      </c>
      <c r="G103" s="1"/>
      <c r="H103" s="4">
        <f t="shared" si="5"/>
        <v>0</v>
      </c>
    </row>
    <row r="104" spans="1:8" x14ac:dyDescent="0.25">
      <c r="A104">
        <v>97</v>
      </c>
      <c r="B104" s="1">
        <f t="shared" si="6"/>
        <v>192859.78837017194</v>
      </c>
      <c r="C104" s="8">
        <f>B104*int/12</f>
        <v>755.36750444984011</v>
      </c>
      <c r="D104" s="8">
        <f>pmt-C104</f>
        <v>1175.1207964291166</v>
      </c>
      <c r="E104" s="2">
        <f>IFERROR(IF(MOD(A104, interval)=0, extrapmt, 0), 0)</f>
        <v>0</v>
      </c>
      <c r="F104" s="1">
        <f t="shared" si="4"/>
        <v>191684.66757374283</v>
      </c>
      <c r="G104" s="1"/>
      <c r="H104" s="4">
        <f t="shared" si="5"/>
        <v>0</v>
      </c>
    </row>
    <row r="105" spans="1:8" x14ac:dyDescent="0.25">
      <c r="A105">
        <v>98</v>
      </c>
      <c r="B105" s="1">
        <f t="shared" si="6"/>
        <v>191684.66757374283</v>
      </c>
      <c r="C105" s="8">
        <f>B105*int/12</f>
        <v>750.76494799715931</v>
      </c>
      <c r="D105" s="8">
        <f>pmt-C105</f>
        <v>1179.7233528817974</v>
      </c>
      <c r="E105" s="2">
        <f>IFERROR(IF(MOD(A105, interval)=0, extrapmt, 0), 0)</f>
        <v>0</v>
      </c>
      <c r="F105" s="1">
        <f t="shared" si="4"/>
        <v>190504.94422086104</v>
      </c>
      <c r="G105" s="1"/>
      <c r="H105" s="4">
        <f t="shared" si="5"/>
        <v>0</v>
      </c>
    </row>
    <row r="106" spans="1:8" x14ac:dyDescent="0.25">
      <c r="A106">
        <v>99</v>
      </c>
      <c r="B106" s="1">
        <f t="shared" si="6"/>
        <v>190504.94422086104</v>
      </c>
      <c r="C106" s="8">
        <f>B106*int/12</f>
        <v>746.14436486503917</v>
      </c>
      <c r="D106" s="8">
        <f>pmt-C106</f>
        <v>1184.3439360139173</v>
      </c>
      <c r="E106" s="2">
        <f>IFERROR(IF(MOD(A106, interval)=0, extrapmt, 0), 0)</f>
        <v>500</v>
      </c>
      <c r="F106" s="1">
        <f t="shared" si="4"/>
        <v>188820.60028484711</v>
      </c>
      <c r="G106" s="1"/>
      <c r="H106" s="4">
        <f t="shared" si="5"/>
        <v>0</v>
      </c>
    </row>
    <row r="107" spans="1:8" x14ac:dyDescent="0.25">
      <c r="A107">
        <v>100</v>
      </c>
      <c r="B107" s="1">
        <f t="shared" si="6"/>
        <v>188820.60028484711</v>
      </c>
      <c r="C107" s="8">
        <f>B107*int/12</f>
        <v>739.54735111565117</v>
      </c>
      <c r="D107" s="8">
        <f>pmt-C107</f>
        <v>1190.9409497633055</v>
      </c>
      <c r="E107" s="2">
        <f>IFERROR(IF(MOD(A107, interval)=0, extrapmt, 0), 0)</f>
        <v>0</v>
      </c>
      <c r="F107" s="1">
        <f t="shared" si="4"/>
        <v>187629.65933508379</v>
      </c>
      <c r="G107" s="1"/>
      <c r="H107" s="4">
        <f t="shared" si="5"/>
        <v>0</v>
      </c>
    </row>
    <row r="108" spans="1:8" x14ac:dyDescent="0.25">
      <c r="A108">
        <v>101</v>
      </c>
      <c r="B108" s="1">
        <f t="shared" si="6"/>
        <v>187629.65933508379</v>
      </c>
      <c r="C108" s="8">
        <f>B108*int/12</f>
        <v>734.88283239574491</v>
      </c>
      <c r="D108" s="8">
        <f>pmt-C108</f>
        <v>1195.6054684832116</v>
      </c>
      <c r="E108" s="2">
        <f>IFERROR(IF(MOD(A108, interval)=0, extrapmt, 0), 0)</f>
        <v>0</v>
      </c>
      <c r="F108" s="1">
        <f t="shared" si="4"/>
        <v>186434.05386660059</v>
      </c>
      <c r="G108" s="1"/>
      <c r="H108" s="4">
        <f t="shared" si="5"/>
        <v>0</v>
      </c>
    </row>
    <row r="109" spans="1:8" x14ac:dyDescent="0.25">
      <c r="A109">
        <v>102</v>
      </c>
      <c r="B109" s="1">
        <f t="shared" si="6"/>
        <v>186434.05386660059</v>
      </c>
      <c r="C109" s="8">
        <f>B109*int/12</f>
        <v>730.20004431085226</v>
      </c>
      <c r="D109" s="8">
        <f>pmt-C109</f>
        <v>1200.2882565681043</v>
      </c>
      <c r="E109" s="2">
        <f>IFERROR(IF(MOD(A109, interval)=0, extrapmt, 0), 0)</f>
        <v>500</v>
      </c>
      <c r="F109" s="1">
        <f t="shared" si="4"/>
        <v>184733.76561003248</v>
      </c>
      <c r="G109" s="1"/>
      <c r="H109" s="4">
        <f t="shared" si="5"/>
        <v>0</v>
      </c>
    </row>
    <row r="110" spans="1:8" x14ac:dyDescent="0.25">
      <c r="A110">
        <v>103</v>
      </c>
      <c r="B110" s="1">
        <f t="shared" si="6"/>
        <v>184733.76561003248</v>
      </c>
      <c r="C110" s="8">
        <f>B110*int/12</f>
        <v>723.54058197262714</v>
      </c>
      <c r="D110" s="8">
        <f>pmt-C110</f>
        <v>1206.9477189063296</v>
      </c>
      <c r="E110" s="2">
        <f>IFERROR(IF(MOD(A110, interval)=0, extrapmt, 0), 0)</f>
        <v>0</v>
      </c>
      <c r="F110" s="1">
        <f t="shared" si="4"/>
        <v>183526.81789112615</v>
      </c>
      <c r="G110" s="1"/>
      <c r="H110" s="4">
        <f t="shared" si="5"/>
        <v>0</v>
      </c>
    </row>
    <row r="111" spans="1:8" x14ac:dyDescent="0.25">
      <c r="A111">
        <v>104</v>
      </c>
      <c r="B111" s="1">
        <f t="shared" si="6"/>
        <v>183526.81789112615</v>
      </c>
      <c r="C111" s="8">
        <f>B111*int/12</f>
        <v>718.8133700735774</v>
      </c>
      <c r="D111" s="8">
        <f>pmt-C111</f>
        <v>1211.6749308053791</v>
      </c>
      <c r="E111" s="2">
        <f>IFERROR(IF(MOD(A111, interval)=0, extrapmt, 0), 0)</f>
        <v>0</v>
      </c>
      <c r="F111" s="1">
        <f t="shared" si="4"/>
        <v>182315.14296032078</v>
      </c>
      <c r="G111" s="1"/>
      <c r="H111" s="4">
        <f t="shared" si="5"/>
        <v>0</v>
      </c>
    </row>
    <row r="112" spans="1:8" x14ac:dyDescent="0.25">
      <c r="A112">
        <v>105</v>
      </c>
      <c r="B112" s="1">
        <f t="shared" si="6"/>
        <v>182315.14296032078</v>
      </c>
      <c r="C112" s="8">
        <f>B112*int/12</f>
        <v>714.06764326125642</v>
      </c>
      <c r="D112" s="8">
        <f>pmt-C112</f>
        <v>1216.4206576177003</v>
      </c>
      <c r="E112" s="2">
        <f>IFERROR(IF(MOD(A112, interval)=0, extrapmt, 0), 0)</f>
        <v>500</v>
      </c>
      <c r="F112" s="1">
        <f t="shared" si="4"/>
        <v>180598.72230270307</v>
      </c>
      <c r="G112" s="1"/>
      <c r="H112" s="4">
        <f t="shared" si="5"/>
        <v>0</v>
      </c>
    </row>
    <row r="113" spans="1:8" x14ac:dyDescent="0.25">
      <c r="A113">
        <v>106</v>
      </c>
      <c r="B113" s="1">
        <f t="shared" si="6"/>
        <v>180598.72230270307</v>
      </c>
      <c r="C113" s="8">
        <f>B113*int/12</f>
        <v>707.34499568558704</v>
      </c>
      <c r="D113" s="8">
        <f>pmt-C113</f>
        <v>1223.1433051933695</v>
      </c>
      <c r="E113" s="2">
        <f>IFERROR(IF(MOD(A113, interval)=0, extrapmt, 0), 0)</f>
        <v>0</v>
      </c>
      <c r="F113" s="1">
        <f t="shared" si="4"/>
        <v>179375.5789975097</v>
      </c>
      <c r="G113" s="1"/>
      <c r="H113" s="4">
        <f t="shared" si="5"/>
        <v>0</v>
      </c>
    </row>
    <row r="114" spans="1:8" x14ac:dyDescent="0.25">
      <c r="A114">
        <v>107</v>
      </c>
      <c r="B114" s="1">
        <f t="shared" si="6"/>
        <v>179375.5789975097</v>
      </c>
      <c r="C114" s="8">
        <f>B114*int/12</f>
        <v>702.55435107357971</v>
      </c>
      <c r="D114" s="8">
        <f>pmt-C114</f>
        <v>1227.9339498053769</v>
      </c>
      <c r="E114" s="2">
        <f>IFERROR(IF(MOD(A114, interval)=0, extrapmt, 0), 0)</f>
        <v>0</v>
      </c>
      <c r="F114" s="1">
        <f t="shared" si="4"/>
        <v>178147.64504770431</v>
      </c>
      <c r="G114" s="1"/>
      <c r="H114" s="4">
        <f t="shared" si="5"/>
        <v>0</v>
      </c>
    </row>
    <row r="115" spans="1:8" x14ac:dyDescent="0.25">
      <c r="A115">
        <v>108</v>
      </c>
      <c r="B115" s="1">
        <f t="shared" si="6"/>
        <v>178147.64504770431</v>
      </c>
      <c r="C115" s="8">
        <f>B115*int/12</f>
        <v>697.74494310350849</v>
      </c>
      <c r="D115" s="8">
        <f>pmt-C115</f>
        <v>1232.7433577754482</v>
      </c>
      <c r="E115" s="2">
        <f>IFERROR(IF(MOD(A115, interval)=0, extrapmt, 0), 0)</f>
        <v>500</v>
      </c>
      <c r="F115" s="1">
        <f t="shared" si="4"/>
        <v>176414.90168992887</v>
      </c>
      <c r="G115" s="1"/>
      <c r="H115" s="4">
        <f t="shared" si="5"/>
        <v>0</v>
      </c>
    </row>
    <row r="116" spans="1:8" x14ac:dyDescent="0.25">
      <c r="A116">
        <v>109</v>
      </c>
      <c r="B116" s="1">
        <f t="shared" si="6"/>
        <v>176414.90168992887</v>
      </c>
      <c r="C116" s="8">
        <f>B116*int/12</f>
        <v>690.95836495222147</v>
      </c>
      <c r="D116" s="8">
        <f>pmt-C116</f>
        <v>1239.5299359267351</v>
      </c>
      <c r="E116" s="2">
        <f>IFERROR(IF(MOD(A116, interval)=0, extrapmt, 0), 0)</f>
        <v>0</v>
      </c>
      <c r="F116" s="1">
        <f t="shared" si="4"/>
        <v>175175.37175400215</v>
      </c>
      <c r="G116" s="1"/>
      <c r="H116" s="4">
        <f t="shared" si="5"/>
        <v>0</v>
      </c>
    </row>
    <row r="117" spans="1:8" x14ac:dyDescent="0.25">
      <c r="A117">
        <v>110</v>
      </c>
      <c r="B117" s="1">
        <f t="shared" si="6"/>
        <v>175175.37175400215</v>
      </c>
      <c r="C117" s="8">
        <f>B117*int/12</f>
        <v>686.10353936984177</v>
      </c>
      <c r="D117" s="8">
        <f>pmt-C117</f>
        <v>1244.3847615091149</v>
      </c>
      <c r="E117" s="2">
        <f>IFERROR(IF(MOD(A117, interval)=0, extrapmt, 0), 0)</f>
        <v>0</v>
      </c>
      <c r="F117" s="1">
        <f t="shared" si="4"/>
        <v>173930.98699249304</v>
      </c>
      <c r="G117" s="1"/>
      <c r="H117" s="4">
        <f t="shared" si="5"/>
        <v>0</v>
      </c>
    </row>
    <row r="118" spans="1:8" x14ac:dyDescent="0.25">
      <c r="A118">
        <v>111</v>
      </c>
      <c r="B118" s="1">
        <f t="shared" si="6"/>
        <v>173930.98699249304</v>
      </c>
      <c r="C118" s="8">
        <f>B118*int/12</f>
        <v>681.22969905393109</v>
      </c>
      <c r="D118" s="8">
        <f>pmt-C118</f>
        <v>1249.2586018250254</v>
      </c>
      <c r="E118" s="2">
        <f>IFERROR(IF(MOD(A118, interval)=0, extrapmt, 0), 0)</f>
        <v>500</v>
      </c>
      <c r="F118" s="1">
        <f t="shared" si="4"/>
        <v>172181.72839066802</v>
      </c>
      <c r="G118" s="1"/>
      <c r="H118" s="4">
        <f t="shared" si="5"/>
        <v>0</v>
      </c>
    </row>
    <row r="119" spans="1:8" x14ac:dyDescent="0.25">
      <c r="A119">
        <v>112</v>
      </c>
      <c r="B119" s="1">
        <f t="shared" si="6"/>
        <v>172181.72839066802</v>
      </c>
      <c r="C119" s="8">
        <f>B119*int/12</f>
        <v>674.37843619678313</v>
      </c>
      <c r="D119" s="8">
        <f>pmt-C119</f>
        <v>1256.1098646821733</v>
      </c>
      <c r="E119" s="2">
        <f>IFERROR(IF(MOD(A119, interval)=0, extrapmt, 0), 0)</f>
        <v>0</v>
      </c>
      <c r="F119" s="1">
        <f t="shared" si="4"/>
        <v>170925.61852598586</v>
      </c>
      <c r="G119" s="1"/>
      <c r="H119" s="4">
        <f t="shared" si="5"/>
        <v>0</v>
      </c>
    </row>
    <row r="120" spans="1:8" x14ac:dyDescent="0.25">
      <c r="A120">
        <v>113</v>
      </c>
      <c r="B120" s="1">
        <f t="shared" si="6"/>
        <v>170925.61852598586</v>
      </c>
      <c r="C120" s="8">
        <f>B120*int/12</f>
        <v>669.45867256011127</v>
      </c>
      <c r="D120" s="8">
        <f>pmt-C120</f>
        <v>1261.0296283188454</v>
      </c>
      <c r="E120" s="2">
        <f>IFERROR(IF(MOD(A120, interval)=0, extrapmt, 0), 0)</f>
        <v>0</v>
      </c>
      <c r="F120" s="1">
        <f t="shared" si="4"/>
        <v>169664.58889766701</v>
      </c>
      <c r="G120" s="1"/>
      <c r="H120" s="4">
        <f t="shared" si="5"/>
        <v>0</v>
      </c>
    </row>
    <row r="121" spans="1:8" x14ac:dyDescent="0.25">
      <c r="A121">
        <v>114</v>
      </c>
      <c r="B121" s="1">
        <f t="shared" si="6"/>
        <v>169664.58889766701</v>
      </c>
      <c r="C121" s="8">
        <f>B121*int/12</f>
        <v>664.51963984919576</v>
      </c>
      <c r="D121" s="8">
        <f>pmt-C121</f>
        <v>1265.9686610297608</v>
      </c>
      <c r="E121" s="2">
        <f>IFERROR(IF(MOD(A121, interval)=0, extrapmt, 0), 0)</f>
        <v>500</v>
      </c>
      <c r="F121" s="1">
        <f t="shared" si="4"/>
        <v>167898.62023663725</v>
      </c>
      <c r="G121" s="1"/>
      <c r="H121" s="4">
        <f t="shared" si="5"/>
        <v>0</v>
      </c>
    </row>
    <row r="122" spans="1:8" x14ac:dyDescent="0.25">
      <c r="A122">
        <v>115</v>
      </c>
      <c r="B122" s="1">
        <f t="shared" si="6"/>
        <v>167898.62023663725</v>
      </c>
      <c r="C122" s="8">
        <f>B122*int/12</f>
        <v>657.60292926016257</v>
      </c>
      <c r="D122" s="8">
        <f>pmt-C122</f>
        <v>1272.8853716187941</v>
      </c>
      <c r="E122" s="2">
        <f>IFERROR(IF(MOD(A122, interval)=0, extrapmt, 0), 0)</f>
        <v>0</v>
      </c>
      <c r="F122" s="1">
        <f t="shared" si="4"/>
        <v>166625.73486501846</v>
      </c>
      <c r="G122" s="1"/>
      <c r="H122" s="4">
        <f t="shared" si="5"/>
        <v>0</v>
      </c>
    </row>
    <row r="123" spans="1:8" x14ac:dyDescent="0.25">
      <c r="A123">
        <v>116</v>
      </c>
      <c r="B123" s="1">
        <f t="shared" si="6"/>
        <v>166625.73486501846</v>
      </c>
      <c r="C123" s="8">
        <f>B123*int/12</f>
        <v>652.61746155465562</v>
      </c>
      <c r="D123" s="8">
        <f>pmt-C123</f>
        <v>1277.870839324301</v>
      </c>
      <c r="E123" s="2">
        <f>IFERROR(IF(MOD(A123, interval)=0, extrapmt, 0), 0)</f>
        <v>0</v>
      </c>
      <c r="F123" s="1">
        <f t="shared" si="4"/>
        <v>165347.86402569414</v>
      </c>
      <c r="G123" s="1"/>
      <c r="H123" s="4">
        <f t="shared" si="5"/>
        <v>0</v>
      </c>
    </row>
    <row r="124" spans="1:8" x14ac:dyDescent="0.25">
      <c r="A124">
        <v>117</v>
      </c>
      <c r="B124" s="1">
        <f t="shared" si="6"/>
        <v>165347.86402569414</v>
      </c>
      <c r="C124" s="8">
        <f>B124*int/12</f>
        <v>647.61246743396873</v>
      </c>
      <c r="D124" s="8">
        <f>pmt-C124</f>
        <v>1282.8758334449878</v>
      </c>
      <c r="E124" s="2">
        <f>IFERROR(IF(MOD(A124, interval)=0, extrapmt, 0), 0)</f>
        <v>500</v>
      </c>
      <c r="F124" s="1">
        <f t="shared" si="4"/>
        <v>163564.98819224915</v>
      </c>
      <c r="G124" s="1"/>
      <c r="H124" s="4">
        <f t="shared" si="5"/>
        <v>0</v>
      </c>
    </row>
    <row r="125" spans="1:8" x14ac:dyDescent="0.25">
      <c r="A125">
        <v>118</v>
      </c>
      <c r="B125" s="1">
        <f t="shared" si="6"/>
        <v>163564.98819224915</v>
      </c>
      <c r="C125" s="8">
        <f>B125*int/12</f>
        <v>640.62953708630914</v>
      </c>
      <c r="D125" s="8">
        <f>pmt-C125</f>
        <v>1289.8587637926476</v>
      </c>
      <c r="E125" s="2">
        <f>IFERROR(IF(MOD(A125, interval)=0, extrapmt, 0), 0)</f>
        <v>0</v>
      </c>
      <c r="F125" s="1">
        <f t="shared" si="4"/>
        <v>162275.12942845651</v>
      </c>
      <c r="G125" s="1"/>
      <c r="H125" s="4">
        <f t="shared" si="5"/>
        <v>0</v>
      </c>
    </row>
    <row r="126" spans="1:8" x14ac:dyDescent="0.25">
      <c r="A126">
        <v>119</v>
      </c>
      <c r="B126" s="1">
        <f t="shared" si="6"/>
        <v>162275.12942845651</v>
      </c>
      <c r="C126" s="8">
        <f>B126*int/12</f>
        <v>635.5775902614547</v>
      </c>
      <c r="D126" s="8">
        <f>pmt-C126</f>
        <v>1294.910710617502</v>
      </c>
      <c r="E126" s="2">
        <f>IFERROR(IF(MOD(A126, interval)=0, extrapmt, 0), 0)</f>
        <v>0</v>
      </c>
      <c r="F126" s="1">
        <f t="shared" si="4"/>
        <v>160980.21871783902</v>
      </c>
      <c r="G126" s="1"/>
      <c r="H126" s="4">
        <f t="shared" si="5"/>
        <v>0</v>
      </c>
    </row>
    <row r="127" spans="1:8" x14ac:dyDescent="0.25">
      <c r="A127">
        <v>120</v>
      </c>
      <c r="B127" s="1">
        <f t="shared" si="6"/>
        <v>160980.21871783902</v>
      </c>
      <c r="C127" s="8">
        <f>B127*int/12</f>
        <v>630.50585664486948</v>
      </c>
      <c r="D127" s="8">
        <f>pmt-C127</f>
        <v>1299.9824442340871</v>
      </c>
      <c r="E127" s="2">
        <f>IFERROR(IF(MOD(A127, interval)=0, extrapmt, 0), 0)</f>
        <v>500</v>
      </c>
      <c r="F127" s="1">
        <f t="shared" si="4"/>
        <v>159180.23627360494</v>
      </c>
      <c r="G127" s="1"/>
      <c r="H127" s="4">
        <f t="shared" si="5"/>
        <v>0</v>
      </c>
    </row>
    <row r="128" spans="1:8" x14ac:dyDescent="0.25">
      <c r="A128">
        <v>121</v>
      </c>
      <c r="B128" s="1">
        <f t="shared" si="6"/>
        <v>159180.23627360494</v>
      </c>
      <c r="C128" s="8">
        <f>B128*int/12</f>
        <v>623.45592540495261</v>
      </c>
      <c r="D128" s="8">
        <f>pmt-C128</f>
        <v>1307.0323754740039</v>
      </c>
      <c r="E128" s="2">
        <f>IFERROR(IF(MOD(A128, interval)=0, extrapmt, 0), 0)</f>
        <v>0</v>
      </c>
      <c r="F128" s="1">
        <f t="shared" si="4"/>
        <v>157873.20389813095</v>
      </c>
      <c r="G128" s="1"/>
      <c r="H128" s="4">
        <f t="shared" si="5"/>
        <v>0</v>
      </c>
    </row>
    <row r="129" spans="1:8" x14ac:dyDescent="0.25">
      <c r="A129">
        <v>122</v>
      </c>
      <c r="B129" s="1">
        <f t="shared" si="6"/>
        <v>157873.20389813095</v>
      </c>
      <c r="C129" s="8">
        <f>B129*int/12</f>
        <v>618.33671526767955</v>
      </c>
      <c r="D129" s="8">
        <f>pmt-C129</f>
        <v>1312.1515856112769</v>
      </c>
      <c r="E129" s="2">
        <f>IFERROR(IF(MOD(A129, interval)=0, extrapmt, 0), 0)</f>
        <v>0</v>
      </c>
      <c r="F129" s="1">
        <f t="shared" si="4"/>
        <v>156561.05231251966</v>
      </c>
      <c r="G129" s="1"/>
      <c r="H129" s="4">
        <f t="shared" si="5"/>
        <v>0</v>
      </c>
    </row>
    <row r="130" spans="1:8" x14ac:dyDescent="0.25">
      <c r="A130">
        <v>123</v>
      </c>
      <c r="B130" s="1">
        <f t="shared" si="6"/>
        <v>156561.05231251966</v>
      </c>
      <c r="C130" s="8">
        <f>B130*int/12</f>
        <v>613.19745489070203</v>
      </c>
      <c r="D130" s="8">
        <f>pmt-C130</f>
        <v>1317.2908459882547</v>
      </c>
      <c r="E130" s="2">
        <f>IFERROR(IF(MOD(A130, interval)=0, extrapmt, 0), 0)</f>
        <v>500</v>
      </c>
      <c r="F130" s="1">
        <f t="shared" si="4"/>
        <v>154743.7614665314</v>
      </c>
      <c r="G130" s="1"/>
      <c r="H130" s="4">
        <f t="shared" si="5"/>
        <v>0</v>
      </c>
    </row>
    <row r="131" spans="1:8" x14ac:dyDescent="0.25">
      <c r="A131">
        <v>124</v>
      </c>
      <c r="B131" s="1">
        <f t="shared" si="6"/>
        <v>154743.7614665314</v>
      </c>
      <c r="C131" s="8">
        <f>B131*int/12</f>
        <v>606.0797324105813</v>
      </c>
      <c r="D131" s="8">
        <f>pmt-C131</f>
        <v>1324.4085684683753</v>
      </c>
      <c r="E131" s="2">
        <f>IFERROR(IF(MOD(A131, interval)=0, extrapmt, 0), 0)</f>
        <v>0</v>
      </c>
      <c r="F131" s="1">
        <f t="shared" si="4"/>
        <v>153419.35289806302</v>
      </c>
      <c r="G131" s="1"/>
      <c r="H131" s="4">
        <f t="shared" si="5"/>
        <v>0</v>
      </c>
    </row>
    <row r="132" spans="1:8" x14ac:dyDescent="0.25">
      <c r="A132">
        <v>125</v>
      </c>
      <c r="B132" s="1">
        <f t="shared" si="6"/>
        <v>153419.35289806302</v>
      </c>
      <c r="C132" s="8">
        <f>B132*int/12</f>
        <v>600.89246551741348</v>
      </c>
      <c r="D132" s="8">
        <f>pmt-C132</f>
        <v>1329.5958353615431</v>
      </c>
      <c r="E132" s="2">
        <f>IFERROR(IF(MOD(A132, interval)=0, extrapmt, 0), 0)</f>
        <v>0</v>
      </c>
      <c r="F132" s="1">
        <f t="shared" si="4"/>
        <v>152089.75706270148</v>
      </c>
      <c r="G132" s="1"/>
      <c r="H132" s="4">
        <f t="shared" si="5"/>
        <v>0</v>
      </c>
    </row>
    <row r="133" spans="1:8" x14ac:dyDescent="0.25">
      <c r="A133">
        <v>126</v>
      </c>
      <c r="B133" s="1">
        <f t="shared" si="6"/>
        <v>152089.75706270148</v>
      </c>
      <c r="C133" s="8">
        <f>B133*int/12</f>
        <v>595.68488182891417</v>
      </c>
      <c r="D133" s="8">
        <f>pmt-C133</f>
        <v>1334.8034190500425</v>
      </c>
      <c r="E133" s="2">
        <f>IFERROR(IF(MOD(A133, interval)=0, extrapmt, 0), 0)</f>
        <v>500</v>
      </c>
      <c r="F133" s="1">
        <f t="shared" si="4"/>
        <v>150254.95364365145</v>
      </c>
      <c r="G133" s="1"/>
      <c r="H133" s="4">
        <f t="shared" si="5"/>
        <v>0</v>
      </c>
    </row>
    <row r="134" spans="1:8" x14ac:dyDescent="0.25">
      <c r="A134">
        <v>127</v>
      </c>
      <c r="B134" s="1">
        <f t="shared" si="6"/>
        <v>150254.95364365145</v>
      </c>
      <c r="C134" s="8">
        <f>B134*int/12</f>
        <v>588.49856843763484</v>
      </c>
      <c r="D134" s="8">
        <f>pmt-C134</f>
        <v>1341.9897324413218</v>
      </c>
      <c r="E134" s="2">
        <f>IFERROR(IF(MOD(A134, interval)=0, extrapmt, 0), 0)</f>
        <v>0</v>
      </c>
      <c r="F134" s="1">
        <f t="shared" si="4"/>
        <v>148912.96391121013</v>
      </c>
      <c r="G134" s="1"/>
      <c r="H134" s="4">
        <f t="shared" si="5"/>
        <v>0</v>
      </c>
    </row>
    <row r="135" spans="1:8" x14ac:dyDescent="0.25">
      <c r="A135">
        <v>128</v>
      </c>
      <c r="B135" s="1">
        <f t="shared" si="6"/>
        <v>148912.96391121013</v>
      </c>
      <c r="C135" s="8">
        <f>B135*int/12</f>
        <v>583.24244198557301</v>
      </c>
      <c r="D135" s="8">
        <f>pmt-C135</f>
        <v>1347.2458588933837</v>
      </c>
      <c r="E135" s="2">
        <f>IFERROR(IF(MOD(A135, interval)=0, extrapmt, 0), 0)</f>
        <v>0</v>
      </c>
      <c r="F135" s="1">
        <f t="shared" si="4"/>
        <v>147565.71805231675</v>
      </c>
      <c r="G135" s="1"/>
      <c r="H135" s="4">
        <f t="shared" si="5"/>
        <v>0</v>
      </c>
    </row>
    <row r="136" spans="1:8" x14ac:dyDescent="0.25">
      <c r="A136">
        <v>129</v>
      </c>
      <c r="B136" s="1">
        <f t="shared" si="6"/>
        <v>147565.71805231675</v>
      </c>
      <c r="C136" s="8">
        <f>B136*int/12</f>
        <v>577.96572903824062</v>
      </c>
      <c r="D136" s="8">
        <f>pmt-C136</f>
        <v>1352.522571840716</v>
      </c>
      <c r="E136" s="2">
        <f>IFERROR(IF(MOD(A136, interval)=0, extrapmt, 0), 0)</f>
        <v>500</v>
      </c>
      <c r="F136" s="1">
        <f t="shared" si="4"/>
        <v>145713.19548047605</v>
      </c>
      <c r="G136" s="1"/>
      <c r="H136" s="4">
        <f t="shared" si="5"/>
        <v>0</v>
      </c>
    </row>
    <row r="137" spans="1:8" x14ac:dyDescent="0.25">
      <c r="A137">
        <v>130</v>
      </c>
      <c r="B137" s="1">
        <f t="shared" si="6"/>
        <v>145713.19548047605</v>
      </c>
      <c r="C137" s="8">
        <f>B137*int/12</f>
        <v>570.71001563186451</v>
      </c>
      <c r="D137" s="8">
        <f>pmt-C137</f>
        <v>1359.7782852470921</v>
      </c>
      <c r="E137" s="2">
        <f>IFERROR(IF(MOD(A137, interval)=0, extrapmt, 0), 0)</f>
        <v>0</v>
      </c>
      <c r="F137" s="1">
        <f t="shared" ref="F137:F200" si="7">IF(B137-D137-E137&lt;0, 0, B137-D137-E137)</f>
        <v>144353.41719522895</v>
      </c>
      <c r="G137" s="1"/>
      <c r="H137" s="4">
        <f t="shared" ref="H137:H200" si="8">(F137&gt;0)*(F138=0)</f>
        <v>0</v>
      </c>
    </row>
    <row r="138" spans="1:8" x14ac:dyDescent="0.25">
      <c r="A138">
        <v>131</v>
      </c>
      <c r="B138" s="1">
        <f t="shared" si="6"/>
        <v>144353.41719522895</v>
      </c>
      <c r="C138" s="8">
        <f>B138*int/12</f>
        <v>565.3842173479801</v>
      </c>
      <c r="D138" s="8">
        <f>pmt-C138</f>
        <v>1365.1040835309764</v>
      </c>
      <c r="E138" s="2">
        <f>IFERROR(IF(MOD(A138, interval)=0, extrapmt, 0), 0)</f>
        <v>0</v>
      </c>
      <c r="F138" s="1">
        <f t="shared" si="7"/>
        <v>142988.31311169796</v>
      </c>
      <c r="G138" s="1"/>
      <c r="H138" s="4">
        <f t="shared" si="8"/>
        <v>0</v>
      </c>
    </row>
    <row r="139" spans="1:8" x14ac:dyDescent="0.25">
      <c r="A139">
        <v>132</v>
      </c>
      <c r="B139" s="1">
        <f t="shared" si="6"/>
        <v>142988.31311169796</v>
      </c>
      <c r="C139" s="8">
        <f>B139*int/12</f>
        <v>560.03755968748362</v>
      </c>
      <c r="D139" s="8">
        <f>pmt-C139</f>
        <v>1370.4507411914728</v>
      </c>
      <c r="E139" s="2">
        <f>IFERROR(IF(MOD(A139, interval)=0, extrapmt, 0), 0)</f>
        <v>500</v>
      </c>
      <c r="F139" s="1">
        <f t="shared" si="7"/>
        <v>141117.86237050648</v>
      </c>
      <c r="G139" s="1"/>
      <c r="H139" s="4">
        <f t="shared" si="8"/>
        <v>0</v>
      </c>
    </row>
    <row r="140" spans="1:8" x14ac:dyDescent="0.25">
      <c r="A140">
        <v>133</v>
      </c>
      <c r="B140" s="1">
        <f t="shared" ref="B140:B203" si="9">F139</f>
        <v>141117.86237050648</v>
      </c>
      <c r="C140" s="8">
        <f>B140*int/12</f>
        <v>552.71162761781704</v>
      </c>
      <c r="D140" s="8">
        <f>pmt-C140</f>
        <v>1377.7766732611394</v>
      </c>
      <c r="E140" s="2">
        <f>IFERROR(IF(MOD(A140, interval)=0, extrapmt, 0), 0)</f>
        <v>0</v>
      </c>
      <c r="F140" s="1">
        <f t="shared" si="7"/>
        <v>139740.08569724535</v>
      </c>
      <c r="G140" s="1"/>
      <c r="H140" s="4">
        <f t="shared" si="8"/>
        <v>0</v>
      </c>
    </row>
    <row r="141" spans="1:8" x14ac:dyDescent="0.25">
      <c r="A141">
        <v>134</v>
      </c>
      <c r="B141" s="1">
        <f t="shared" si="9"/>
        <v>139740.08569724535</v>
      </c>
      <c r="C141" s="8">
        <f>B141*int/12</f>
        <v>547.31533564754432</v>
      </c>
      <c r="D141" s="8">
        <f>pmt-C141</f>
        <v>1383.1729652314123</v>
      </c>
      <c r="E141" s="2">
        <f>IFERROR(IF(MOD(A141, interval)=0, extrapmt, 0), 0)</f>
        <v>0</v>
      </c>
      <c r="F141" s="1">
        <f t="shared" si="7"/>
        <v>138356.91273201394</v>
      </c>
      <c r="G141" s="1"/>
      <c r="H141" s="4">
        <f t="shared" si="8"/>
        <v>0</v>
      </c>
    </row>
    <row r="142" spans="1:8" x14ac:dyDescent="0.25">
      <c r="A142">
        <v>135</v>
      </c>
      <c r="B142" s="1">
        <f t="shared" si="9"/>
        <v>138356.91273201394</v>
      </c>
      <c r="C142" s="8">
        <f>B142*int/12</f>
        <v>541.89790820038786</v>
      </c>
      <c r="D142" s="8">
        <f>pmt-C142</f>
        <v>1388.5903926785686</v>
      </c>
      <c r="E142" s="2">
        <f>IFERROR(IF(MOD(A142, interval)=0, extrapmt, 0), 0)</f>
        <v>500</v>
      </c>
      <c r="F142" s="1">
        <f t="shared" si="7"/>
        <v>136468.32233933537</v>
      </c>
      <c r="G142" s="1"/>
      <c r="H142" s="4">
        <f t="shared" si="8"/>
        <v>0</v>
      </c>
    </row>
    <row r="143" spans="1:8" x14ac:dyDescent="0.25">
      <c r="A143">
        <v>136</v>
      </c>
      <c r="B143" s="1">
        <f t="shared" si="9"/>
        <v>136468.32233933537</v>
      </c>
      <c r="C143" s="8">
        <f>B143*int/12</f>
        <v>534.5009291623968</v>
      </c>
      <c r="D143" s="8">
        <f>pmt-C143</f>
        <v>1395.9873717165597</v>
      </c>
      <c r="E143" s="2">
        <f>IFERROR(IF(MOD(A143, interval)=0, extrapmt, 0), 0)</f>
        <v>0</v>
      </c>
      <c r="F143" s="1">
        <f t="shared" si="7"/>
        <v>135072.33496761881</v>
      </c>
      <c r="G143" s="1"/>
      <c r="H143" s="4">
        <f t="shared" si="8"/>
        <v>0</v>
      </c>
    </row>
    <row r="144" spans="1:8" x14ac:dyDescent="0.25">
      <c r="A144">
        <v>137</v>
      </c>
      <c r="B144" s="1">
        <f t="shared" si="9"/>
        <v>135072.33496761881</v>
      </c>
      <c r="C144" s="8">
        <f>B144*int/12</f>
        <v>529.03331195650696</v>
      </c>
      <c r="D144" s="8">
        <f>pmt-C144</f>
        <v>1401.4549889224495</v>
      </c>
      <c r="E144" s="2">
        <f>IFERROR(IF(MOD(A144, interval)=0, extrapmt, 0), 0)</f>
        <v>0</v>
      </c>
      <c r="F144" s="1">
        <f t="shared" si="7"/>
        <v>133670.87997869635</v>
      </c>
      <c r="G144" s="1"/>
      <c r="H144" s="4">
        <f t="shared" si="8"/>
        <v>0</v>
      </c>
    </row>
    <row r="145" spans="1:8" x14ac:dyDescent="0.25">
      <c r="A145">
        <v>138</v>
      </c>
      <c r="B145" s="1">
        <f t="shared" si="9"/>
        <v>133670.87997869635</v>
      </c>
      <c r="C145" s="8">
        <f>B145*int/12</f>
        <v>523.54427991656064</v>
      </c>
      <c r="D145" s="8">
        <f>pmt-C145</f>
        <v>1406.9440209623958</v>
      </c>
      <c r="E145" s="2">
        <f>IFERROR(IF(MOD(A145, interval)=0, extrapmt, 0), 0)</f>
        <v>500</v>
      </c>
      <c r="F145" s="1">
        <f t="shared" si="7"/>
        <v>131763.93595773395</v>
      </c>
      <c r="G145" s="1"/>
      <c r="H145" s="4">
        <f t="shared" si="8"/>
        <v>0</v>
      </c>
    </row>
    <row r="146" spans="1:8" x14ac:dyDescent="0.25">
      <c r="A146">
        <v>139</v>
      </c>
      <c r="B146" s="1">
        <f t="shared" si="9"/>
        <v>131763.93595773395</v>
      </c>
      <c r="C146" s="8">
        <f>B146*int/12</f>
        <v>516.075415834458</v>
      </c>
      <c r="D146" s="8">
        <f>pmt-C146</f>
        <v>1414.4128850444986</v>
      </c>
      <c r="E146" s="2">
        <f>IFERROR(IF(MOD(A146, interval)=0, extrapmt, 0), 0)</f>
        <v>0</v>
      </c>
      <c r="F146" s="1">
        <f t="shared" si="7"/>
        <v>130349.52307268945</v>
      </c>
      <c r="G146" s="1"/>
      <c r="H146" s="4">
        <f t="shared" si="8"/>
        <v>0</v>
      </c>
    </row>
    <row r="147" spans="1:8" x14ac:dyDescent="0.25">
      <c r="A147">
        <v>140</v>
      </c>
      <c r="B147" s="1">
        <f t="shared" si="9"/>
        <v>130349.52307268945</v>
      </c>
      <c r="C147" s="8">
        <f>B147*int/12</f>
        <v>510.53563203470031</v>
      </c>
      <c r="D147" s="8">
        <f>pmt-C147</f>
        <v>1419.9526688442563</v>
      </c>
      <c r="E147" s="2">
        <f>IFERROR(IF(MOD(A147, interval)=0, extrapmt, 0), 0)</f>
        <v>0</v>
      </c>
      <c r="F147" s="1">
        <f t="shared" si="7"/>
        <v>128929.57040384519</v>
      </c>
      <c r="G147" s="1"/>
      <c r="H147" s="4">
        <f t="shared" si="8"/>
        <v>0</v>
      </c>
    </row>
    <row r="148" spans="1:8" x14ac:dyDescent="0.25">
      <c r="A148">
        <v>141</v>
      </c>
      <c r="B148" s="1">
        <f t="shared" si="9"/>
        <v>128929.57040384519</v>
      </c>
      <c r="C148" s="8">
        <f>B148*int/12</f>
        <v>504.9741507483937</v>
      </c>
      <c r="D148" s="8">
        <f>pmt-C148</f>
        <v>1425.5141501305629</v>
      </c>
      <c r="E148" s="2">
        <f>IFERROR(IF(MOD(A148, interval)=0, extrapmt, 0), 0)</f>
        <v>500</v>
      </c>
      <c r="F148" s="1">
        <f t="shared" si="7"/>
        <v>127004.05625371463</v>
      </c>
      <c r="G148" s="1"/>
      <c r="H148" s="4">
        <f t="shared" si="8"/>
        <v>0</v>
      </c>
    </row>
    <row r="149" spans="1:8" x14ac:dyDescent="0.25">
      <c r="A149">
        <v>142</v>
      </c>
      <c r="B149" s="1">
        <f t="shared" si="9"/>
        <v>127004.05625371463</v>
      </c>
      <c r="C149" s="8">
        <f>B149*int/12</f>
        <v>497.43255366038233</v>
      </c>
      <c r="D149" s="8">
        <f>pmt-C149</f>
        <v>1433.0557472185742</v>
      </c>
      <c r="E149" s="2">
        <f>IFERROR(IF(MOD(A149, interval)=0, extrapmt, 0), 0)</f>
        <v>0</v>
      </c>
      <c r="F149" s="1">
        <f t="shared" si="7"/>
        <v>125571.00050649606</v>
      </c>
      <c r="G149" s="1"/>
      <c r="H149" s="4">
        <f t="shared" si="8"/>
        <v>0</v>
      </c>
    </row>
    <row r="150" spans="1:8" x14ac:dyDescent="0.25">
      <c r="A150">
        <v>143</v>
      </c>
      <c r="B150" s="1">
        <f t="shared" si="9"/>
        <v>125571.00050649606</v>
      </c>
      <c r="C150" s="8">
        <f>B150*int/12</f>
        <v>491.81975198377626</v>
      </c>
      <c r="D150" s="8">
        <f>pmt-C150</f>
        <v>1438.6685488951803</v>
      </c>
      <c r="E150" s="2">
        <f>IFERROR(IF(MOD(A150, interval)=0, extrapmt, 0), 0)</f>
        <v>0</v>
      </c>
      <c r="F150" s="1">
        <f t="shared" si="7"/>
        <v>124132.33195760088</v>
      </c>
      <c r="G150" s="1"/>
      <c r="H150" s="4">
        <f t="shared" si="8"/>
        <v>0</v>
      </c>
    </row>
    <row r="151" spans="1:8" x14ac:dyDescent="0.25">
      <c r="A151">
        <v>144</v>
      </c>
      <c r="B151" s="1">
        <f t="shared" si="9"/>
        <v>124132.33195760088</v>
      </c>
      <c r="C151" s="8">
        <f>B151*int/12</f>
        <v>486.18496683393681</v>
      </c>
      <c r="D151" s="8">
        <f>pmt-C151</f>
        <v>1444.3033340450197</v>
      </c>
      <c r="E151" s="2">
        <f>IFERROR(IF(MOD(A151, interval)=0, extrapmt, 0), 0)</f>
        <v>500</v>
      </c>
      <c r="F151" s="1">
        <f t="shared" si="7"/>
        <v>122188.02862355586</v>
      </c>
      <c r="G151" s="1"/>
      <c r="H151" s="4">
        <f t="shared" si="8"/>
        <v>0</v>
      </c>
    </row>
    <row r="152" spans="1:8" x14ac:dyDescent="0.25">
      <c r="A152">
        <v>145</v>
      </c>
      <c r="B152" s="1">
        <f t="shared" si="9"/>
        <v>122188.02862355586</v>
      </c>
      <c r="C152" s="8">
        <f>B152*int/12</f>
        <v>478.56977877559376</v>
      </c>
      <c r="D152" s="8">
        <f>pmt-C152</f>
        <v>1451.9185221033629</v>
      </c>
      <c r="E152" s="2">
        <f>IFERROR(IF(MOD(A152, interval)=0, extrapmt, 0), 0)</f>
        <v>0</v>
      </c>
      <c r="F152" s="1">
        <f t="shared" si="7"/>
        <v>120736.11010145249</v>
      </c>
      <c r="G152" s="1"/>
      <c r="H152" s="4">
        <f t="shared" si="8"/>
        <v>0</v>
      </c>
    </row>
    <row r="153" spans="1:8" x14ac:dyDescent="0.25">
      <c r="A153">
        <v>146</v>
      </c>
      <c r="B153" s="1">
        <f t="shared" si="9"/>
        <v>120736.11010145249</v>
      </c>
      <c r="C153" s="8">
        <f>B153*int/12</f>
        <v>472.88309789735558</v>
      </c>
      <c r="D153" s="8">
        <f>pmt-C153</f>
        <v>1457.605202981601</v>
      </c>
      <c r="E153" s="2">
        <f>IFERROR(IF(MOD(A153, interval)=0, extrapmt, 0), 0)</f>
        <v>0</v>
      </c>
      <c r="F153" s="1">
        <f t="shared" si="7"/>
        <v>119278.50489847088</v>
      </c>
      <c r="G153" s="1"/>
      <c r="H153" s="4">
        <f t="shared" si="8"/>
        <v>0</v>
      </c>
    </row>
    <row r="154" spans="1:8" x14ac:dyDescent="0.25">
      <c r="A154">
        <v>147</v>
      </c>
      <c r="B154" s="1">
        <f t="shared" si="9"/>
        <v>119278.50489847088</v>
      </c>
      <c r="C154" s="8">
        <f>B154*int/12</f>
        <v>467.17414418567768</v>
      </c>
      <c r="D154" s="8">
        <f>pmt-C154</f>
        <v>1463.3141566932788</v>
      </c>
      <c r="E154" s="2">
        <f>IFERROR(IF(MOD(A154, interval)=0, extrapmt, 0), 0)</f>
        <v>500</v>
      </c>
      <c r="F154" s="1">
        <f t="shared" si="7"/>
        <v>117315.19074177761</v>
      </c>
      <c r="G154" s="1"/>
      <c r="H154" s="4">
        <f t="shared" si="8"/>
        <v>0</v>
      </c>
    </row>
    <row r="155" spans="1:8" x14ac:dyDescent="0.25">
      <c r="A155">
        <v>148</v>
      </c>
      <c r="B155" s="1">
        <f t="shared" si="9"/>
        <v>117315.19074177761</v>
      </c>
      <c r="C155" s="8">
        <f>B155*int/12</f>
        <v>459.48449707196232</v>
      </c>
      <c r="D155" s="8">
        <f>pmt-C155</f>
        <v>1471.0038038069943</v>
      </c>
      <c r="E155" s="2">
        <f>IFERROR(IF(MOD(A155, interval)=0, extrapmt, 0), 0)</f>
        <v>0</v>
      </c>
      <c r="F155" s="1">
        <f t="shared" si="7"/>
        <v>115844.18693797062</v>
      </c>
      <c r="G155" s="1"/>
      <c r="H155" s="4">
        <f t="shared" si="8"/>
        <v>0</v>
      </c>
    </row>
    <row r="156" spans="1:8" x14ac:dyDescent="0.25">
      <c r="A156">
        <v>149</v>
      </c>
      <c r="B156" s="1">
        <f t="shared" si="9"/>
        <v>115844.18693797062</v>
      </c>
      <c r="C156" s="8">
        <f>B156*int/12</f>
        <v>453.72306550705161</v>
      </c>
      <c r="D156" s="8">
        <f>pmt-C156</f>
        <v>1476.765235371905</v>
      </c>
      <c r="E156" s="2">
        <f>IFERROR(IF(MOD(A156, interval)=0, extrapmt, 0), 0)</f>
        <v>0</v>
      </c>
      <c r="F156" s="1">
        <f t="shared" si="7"/>
        <v>114367.42170259872</v>
      </c>
      <c r="G156" s="1"/>
      <c r="H156" s="4">
        <f t="shared" si="8"/>
        <v>0</v>
      </c>
    </row>
    <row r="157" spans="1:8" x14ac:dyDescent="0.25">
      <c r="A157">
        <v>150</v>
      </c>
      <c r="B157" s="1">
        <f t="shared" si="9"/>
        <v>114367.42170259872</v>
      </c>
      <c r="C157" s="8">
        <f>B157*int/12</f>
        <v>447.93906833517832</v>
      </c>
      <c r="D157" s="8">
        <f>pmt-C157</f>
        <v>1482.5492325437783</v>
      </c>
      <c r="E157" s="2">
        <f>IFERROR(IF(MOD(A157, interval)=0, extrapmt, 0), 0)</f>
        <v>500</v>
      </c>
      <c r="F157" s="1">
        <f t="shared" si="7"/>
        <v>112384.87247005494</v>
      </c>
      <c r="G157" s="1"/>
      <c r="H157" s="4">
        <f t="shared" si="8"/>
        <v>0</v>
      </c>
    </row>
    <row r="158" spans="1:8" x14ac:dyDescent="0.25">
      <c r="A158">
        <v>151</v>
      </c>
      <c r="B158" s="1">
        <f t="shared" si="9"/>
        <v>112384.87247005494</v>
      </c>
      <c r="C158" s="8">
        <f>B158*int/12</f>
        <v>440.17408384104851</v>
      </c>
      <c r="D158" s="8">
        <f>pmt-C158</f>
        <v>1490.3142170379081</v>
      </c>
      <c r="E158" s="2">
        <f>IFERROR(IF(MOD(A158, interval)=0, extrapmt, 0), 0)</f>
        <v>0</v>
      </c>
      <c r="F158" s="1">
        <f t="shared" si="7"/>
        <v>110894.55825301702</v>
      </c>
      <c r="G158" s="1"/>
      <c r="H158" s="4">
        <f t="shared" si="8"/>
        <v>0</v>
      </c>
    </row>
    <row r="159" spans="1:8" x14ac:dyDescent="0.25">
      <c r="A159">
        <v>152</v>
      </c>
      <c r="B159" s="1">
        <f t="shared" si="9"/>
        <v>110894.55825301702</v>
      </c>
      <c r="C159" s="8">
        <f>B159*int/12</f>
        <v>434.33701982431666</v>
      </c>
      <c r="D159" s="8">
        <f>pmt-C159</f>
        <v>1496.1512810546399</v>
      </c>
      <c r="E159" s="2">
        <f>IFERROR(IF(MOD(A159, interval)=0, extrapmt, 0), 0)</f>
        <v>0</v>
      </c>
      <c r="F159" s="1">
        <f t="shared" si="7"/>
        <v>109398.40697196238</v>
      </c>
      <c r="G159" s="1"/>
      <c r="H159" s="4">
        <f t="shared" si="8"/>
        <v>0</v>
      </c>
    </row>
    <row r="160" spans="1:8" x14ac:dyDescent="0.25">
      <c r="A160">
        <v>153</v>
      </c>
      <c r="B160" s="1">
        <f t="shared" si="9"/>
        <v>109398.40697196238</v>
      </c>
      <c r="C160" s="8">
        <f>B160*int/12</f>
        <v>428.47709397351929</v>
      </c>
      <c r="D160" s="8">
        <f>pmt-C160</f>
        <v>1502.0112069054373</v>
      </c>
      <c r="E160" s="2">
        <f>IFERROR(IF(MOD(A160, interval)=0, extrapmt, 0), 0)</f>
        <v>500</v>
      </c>
      <c r="F160" s="1">
        <f t="shared" si="7"/>
        <v>107396.39576505695</v>
      </c>
      <c r="G160" s="1"/>
      <c r="H160" s="4">
        <f t="shared" si="8"/>
        <v>0</v>
      </c>
    </row>
    <row r="161" spans="1:8" x14ac:dyDescent="0.25">
      <c r="A161">
        <v>154</v>
      </c>
      <c r="B161" s="1">
        <f t="shared" si="9"/>
        <v>107396.39576505695</v>
      </c>
      <c r="C161" s="8">
        <f>B161*int/12</f>
        <v>420.63588341313971</v>
      </c>
      <c r="D161" s="8">
        <f>pmt-C161</f>
        <v>1509.8524174658169</v>
      </c>
      <c r="E161" s="2">
        <f>IFERROR(IF(MOD(A161, interval)=0, extrapmt, 0), 0)</f>
        <v>0</v>
      </c>
      <c r="F161" s="1">
        <f t="shared" si="7"/>
        <v>105886.54334759113</v>
      </c>
      <c r="G161" s="1"/>
      <c r="H161" s="4">
        <f t="shared" si="8"/>
        <v>0</v>
      </c>
    </row>
    <row r="162" spans="1:8" x14ac:dyDescent="0.25">
      <c r="A162">
        <v>155</v>
      </c>
      <c r="B162" s="1">
        <f t="shared" si="9"/>
        <v>105886.54334759113</v>
      </c>
      <c r="C162" s="8">
        <f>B162*int/12</f>
        <v>414.7222947780653</v>
      </c>
      <c r="D162" s="8">
        <f>pmt-C162</f>
        <v>1515.7660061008912</v>
      </c>
      <c r="E162" s="2">
        <f>IFERROR(IF(MOD(A162, interval)=0, extrapmt, 0), 0)</f>
        <v>0</v>
      </c>
      <c r="F162" s="1">
        <f t="shared" si="7"/>
        <v>104370.77734149023</v>
      </c>
      <c r="G162" s="1"/>
      <c r="H162" s="4">
        <f t="shared" si="8"/>
        <v>0</v>
      </c>
    </row>
    <row r="163" spans="1:8" x14ac:dyDescent="0.25">
      <c r="A163">
        <v>156</v>
      </c>
      <c r="B163" s="1">
        <f t="shared" si="9"/>
        <v>104370.77734149023</v>
      </c>
      <c r="C163" s="8">
        <f>B163*int/12</f>
        <v>408.78554458750341</v>
      </c>
      <c r="D163" s="8">
        <f>pmt-C163</f>
        <v>1521.7027562914532</v>
      </c>
      <c r="E163" s="2">
        <f>IFERROR(IF(MOD(A163, interval)=0, extrapmt, 0), 0)</f>
        <v>500</v>
      </c>
      <c r="F163" s="1">
        <f t="shared" si="7"/>
        <v>102349.07458519877</v>
      </c>
      <c r="G163" s="1"/>
      <c r="H163" s="4">
        <f t="shared" si="8"/>
        <v>0</v>
      </c>
    </row>
    <row r="164" spans="1:8" x14ac:dyDescent="0.25">
      <c r="A164">
        <v>157</v>
      </c>
      <c r="B164" s="1">
        <f t="shared" si="9"/>
        <v>102349.07458519877</v>
      </c>
      <c r="C164" s="8">
        <f>B164*int/12</f>
        <v>400.86720879202852</v>
      </c>
      <c r="D164" s="8">
        <f>pmt-C164</f>
        <v>1529.621092086928</v>
      </c>
      <c r="E164" s="2">
        <f>IFERROR(IF(MOD(A164, interval)=0, extrapmt, 0), 0)</f>
        <v>0</v>
      </c>
      <c r="F164" s="1">
        <f t="shared" si="7"/>
        <v>100819.45349311184</v>
      </c>
      <c r="G164" s="1"/>
      <c r="H164" s="4">
        <f t="shared" si="8"/>
        <v>0</v>
      </c>
    </row>
    <row r="165" spans="1:8" x14ac:dyDescent="0.25">
      <c r="A165">
        <v>158</v>
      </c>
      <c r="B165" s="1">
        <f t="shared" si="9"/>
        <v>100819.45349311184</v>
      </c>
      <c r="C165" s="8">
        <f>B165*int/12</f>
        <v>394.87619284802139</v>
      </c>
      <c r="D165" s="8">
        <f>pmt-C165</f>
        <v>1535.6121080309351</v>
      </c>
      <c r="E165" s="2">
        <f>IFERROR(IF(MOD(A165, interval)=0, extrapmt, 0), 0)</f>
        <v>0</v>
      </c>
      <c r="F165" s="1">
        <f t="shared" si="7"/>
        <v>99283.841385080901</v>
      </c>
      <c r="G165" s="1"/>
      <c r="H165" s="4">
        <f t="shared" si="8"/>
        <v>0</v>
      </c>
    </row>
    <row r="166" spans="1:8" x14ac:dyDescent="0.25">
      <c r="A166">
        <v>159</v>
      </c>
      <c r="B166" s="1">
        <f t="shared" si="9"/>
        <v>99283.841385080901</v>
      </c>
      <c r="C166" s="8">
        <f>B166*int/12</f>
        <v>388.86171209156686</v>
      </c>
      <c r="D166" s="8">
        <f>pmt-C166</f>
        <v>1541.6265887873897</v>
      </c>
      <c r="E166" s="2">
        <f>IFERROR(IF(MOD(A166, interval)=0, extrapmt, 0), 0)</f>
        <v>500</v>
      </c>
      <c r="F166" s="1">
        <f t="shared" si="7"/>
        <v>97242.214796293512</v>
      </c>
      <c r="G166" s="1"/>
      <c r="H166" s="4">
        <f t="shared" si="8"/>
        <v>0</v>
      </c>
    </row>
    <row r="167" spans="1:8" x14ac:dyDescent="0.25">
      <c r="A167">
        <v>160</v>
      </c>
      <c r="B167" s="1">
        <f t="shared" si="9"/>
        <v>97242.214796293512</v>
      </c>
      <c r="C167" s="8">
        <f>B167*int/12</f>
        <v>380.86534128548288</v>
      </c>
      <c r="D167" s="8">
        <f>pmt-C167</f>
        <v>1549.6229595934738</v>
      </c>
      <c r="E167" s="2">
        <f>IFERROR(IF(MOD(A167, interval)=0, extrapmt, 0), 0)</f>
        <v>0</v>
      </c>
      <c r="F167" s="1">
        <f t="shared" si="7"/>
        <v>95692.591836700041</v>
      </c>
      <c r="G167" s="1"/>
      <c r="H167" s="4">
        <f t="shared" si="8"/>
        <v>0</v>
      </c>
    </row>
    <row r="168" spans="1:8" x14ac:dyDescent="0.25">
      <c r="A168">
        <v>161</v>
      </c>
      <c r="B168" s="1">
        <f t="shared" si="9"/>
        <v>95692.591836700041</v>
      </c>
      <c r="C168" s="8">
        <f>B168*int/12</f>
        <v>374.79598469374179</v>
      </c>
      <c r="D168" s="8">
        <f>pmt-C168</f>
        <v>1555.6923161852148</v>
      </c>
      <c r="E168" s="2">
        <f>IFERROR(IF(MOD(A168, interval)=0, extrapmt, 0), 0)</f>
        <v>0</v>
      </c>
      <c r="F168" s="1">
        <f t="shared" si="7"/>
        <v>94136.899520514824</v>
      </c>
      <c r="G168" s="1"/>
      <c r="H168" s="4">
        <f t="shared" si="8"/>
        <v>0</v>
      </c>
    </row>
    <row r="169" spans="1:8" x14ac:dyDescent="0.25">
      <c r="A169">
        <v>162</v>
      </c>
      <c r="B169" s="1">
        <f t="shared" si="9"/>
        <v>94136.899520514824</v>
      </c>
      <c r="C169" s="8">
        <f>B169*int/12</f>
        <v>368.70285645534972</v>
      </c>
      <c r="D169" s="8">
        <f>pmt-C169</f>
        <v>1561.7854444236068</v>
      </c>
      <c r="E169" s="2">
        <f>IFERROR(IF(MOD(A169, interval)=0, extrapmt, 0), 0)</f>
        <v>500</v>
      </c>
      <c r="F169" s="1">
        <f t="shared" si="7"/>
        <v>92075.114076091224</v>
      </c>
      <c r="G169" s="1"/>
      <c r="H169" s="4">
        <f t="shared" si="8"/>
        <v>0</v>
      </c>
    </row>
    <row r="170" spans="1:8" x14ac:dyDescent="0.25">
      <c r="A170">
        <v>163</v>
      </c>
      <c r="B170" s="1">
        <f t="shared" si="9"/>
        <v>92075.114076091224</v>
      </c>
      <c r="C170" s="8">
        <f>B170*int/12</f>
        <v>360.62753013135733</v>
      </c>
      <c r="D170" s="8">
        <f>pmt-C170</f>
        <v>1569.8607707475992</v>
      </c>
      <c r="E170" s="2">
        <f>IFERROR(IF(MOD(A170, interval)=0, extrapmt, 0), 0)</f>
        <v>0</v>
      </c>
      <c r="F170" s="1">
        <f t="shared" si="7"/>
        <v>90505.25330534362</v>
      </c>
      <c r="G170" s="1"/>
      <c r="H170" s="4">
        <f t="shared" si="8"/>
        <v>0</v>
      </c>
    </row>
    <row r="171" spans="1:8" x14ac:dyDescent="0.25">
      <c r="A171">
        <v>164</v>
      </c>
      <c r="B171" s="1">
        <f t="shared" si="9"/>
        <v>90505.25330534362</v>
      </c>
      <c r="C171" s="8">
        <f>B171*int/12</f>
        <v>354.47890877926255</v>
      </c>
      <c r="D171" s="8">
        <f>pmt-C171</f>
        <v>1576.009392099694</v>
      </c>
      <c r="E171" s="2">
        <f>IFERROR(IF(MOD(A171, interval)=0, extrapmt, 0), 0)</f>
        <v>0</v>
      </c>
      <c r="F171" s="1">
        <f t="shared" si="7"/>
        <v>88929.243913243932</v>
      </c>
      <c r="G171" s="1"/>
      <c r="H171" s="4">
        <f t="shared" si="8"/>
        <v>0</v>
      </c>
    </row>
    <row r="172" spans="1:8" x14ac:dyDescent="0.25">
      <c r="A172">
        <v>165</v>
      </c>
      <c r="B172" s="1">
        <f t="shared" si="9"/>
        <v>88929.243913243932</v>
      </c>
      <c r="C172" s="8">
        <f>B172*int/12</f>
        <v>348.30620532687203</v>
      </c>
      <c r="D172" s="8">
        <f>pmt-C172</f>
        <v>1582.1820955520845</v>
      </c>
      <c r="E172" s="2">
        <f>IFERROR(IF(MOD(A172, interval)=0, extrapmt, 0), 0)</f>
        <v>500</v>
      </c>
      <c r="F172" s="1">
        <f t="shared" si="7"/>
        <v>86847.061817691851</v>
      </c>
      <c r="G172" s="1"/>
      <c r="H172" s="4">
        <f t="shared" si="8"/>
        <v>0</v>
      </c>
    </row>
    <row r="173" spans="1:8" x14ac:dyDescent="0.25">
      <c r="A173">
        <v>166</v>
      </c>
      <c r="B173" s="1">
        <f t="shared" si="9"/>
        <v>86847.061817691851</v>
      </c>
      <c r="C173" s="8">
        <f>B173*int/12</f>
        <v>340.15099211929311</v>
      </c>
      <c r="D173" s="8">
        <f>pmt-C173</f>
        <v>1590.3373087596635</v>
      </c>
      <c r="E173" s="2">
        <f>IFERROR(IF(MOD(A173, interval)=0, extrapmt, 0), 0)</f>
        <v>0</v>
      </c>
      <c r="F173" s="1">
        <f t="shared" si="7"/>
        <v>85256.72450893218</v>
      </c>
      <c r="G173" s="1"/>
      <c r="H173" s="4">
        <f t="shared" si="8"/>
        <v>0</v>
      </c>
    </row>
    <row r="174" spans="1:8" x14ac:dyDescent="0.25">
      <c r="A174">
        <v>167</v>
      </c>
      <c r="B174" s="1">
        <f t="shared" si="9"/>
        <v>85256.72450893218</v>
      </c>
      <c r="C174" s="8">
        <f>B174*int/12</f>
        <v>333.92217099331771</v>
      </c>
      <c r="D174" s="8">
        <f>pmt-C174</f>
        <v>1596.5661298856389</v>
      </c>
      <c r="E174" s="2">
        <f>IFERROR(IF(MOD(A174, interval)=0, extrapmt, 0), 0)</f>
        <v>0</v>
      </c>
      <c r="F174" s="1">
        <f t="shared" si="7"/>
        <v>83660.158379046537</v>
      </c>
      <c r="G174" s="1"/>
      <c r="H174" s="4">
        <f t="shared" si="8"/>
        <v>0</v>
      </c>
    </row>
    <row r="175" spans="1:8" x14ac:dyDescent="0.25">
      <c r="A175">
        <v>168</v>
      </c>
      <c r="B175" s="1">
        <f t="shared" si="9"/>
        <v>83660.158379046537</v>
      </c>
      <c r="C175" s="8">
        <f>B175*int/12</f>
        <v>327.66895365126561</v>
      </c>
      <c r="D175" s="8">
        <f>pmt-C175</f>
        <v>1602.819347227691</v>
      </c>
      <c r="E175" s="2">
        <f>IFERROR(IF(MOD(A175, interval)=0, extrapmt, 0), 0)</f>
        <v>500</v>
      </c>
      <c r="F175" s="1">
        <f t="shared" si="7"/>
        <v>81557.339031818847</v>
      </c>
      <c r="G175" s="1"/>
      <c r="H175" s="4">
        <f t="shared" si="8"/>
        <v>0</v>
      </c>
    </row>
    <row r="176" spans="1:8" x14ac:dyDescent="0.25">
      <c r="A176">
        <v>169</v>
      </c>
      <c r="B176" s="1">
        <f t="shared" si="9"/>
        <v>81557.339031818847</v>
      </c>
      <c r="C176" s="8">
        <f>B176*int/12</f>
        <v>319.43291120795715</v>
      </c>
      <c r="D176" s="8">
        <f>pmt-C176</f>
        <v>1611.0553896709994</v>
      </c>
      <c r="E176" s="2">
        <f>IFERROR(IF(MOD(A176, interval)=0, extrapmt, 0), 0)</f>
        <v>0</v>
      </c>
      <c r="F176" s="1">
        <f t="shared" si="7"/>
        <v>79946.283642147842</v>
      </c>
      <c r="G176" s="3"/>
      <c r="H176" s="4">
        <f t="shared" si="8"/>
        <v>0</v>
      </c>
    </row>
    <row r="177" spans="1:8" x14ac:dyDescent="0.25">
      <c r="A177">
        <v>170</v>
      </c>
      <c r="B177" s="1">
        <f t="shared" si="9"/>
        <v>79946.283642147842</v>
      </c>
      <c r="C177" s="8">
        <f>B177*int/12</f>
        <v>313.12294426507907</v>
      </c>
      <c r="D177" s="8">
        <f>pmt-C177</f>
        <v>1617.3653566138776</v>
      </c>
      <c r="E177" s="2">
        <f>IFERROR(IF(MOD(A177, interval)=0, extrapmt, 0), 0)</f>
        <v>0</v>
      </c>
      <c r="F177" s="1">
        <f t="shared" si="7"/>
        <v>78328.91828553396</v>
      </c>
      <c r="G177" s="1"/>
      <c r="H177" s="4">
        <f t="shared" si="8"/>
        <v>0</v>
      </c>
    </row>
    <row r="178" spans="1:8" x14ac:dyDescent="0.25">
      <c r="A178">
        <v>171</v>
      </c>
      <c r="B178" s="1">
        <f t="shared" si="9"/>
        <v>78328.91828553396</v>
      </c>
      <c r="C178" s="8">
        <f>B178*int/12</f>
        <v>306.78826328500799</v>
      </c>
      <c r="D178" s="8">
        <f>pmt-C178</f>
        <v>1623.7000375939485</v>
      </c>
      <c r="E178" s="2">
        <f>IFERROR(IF(MOD(A178, interval)=0, extrapmt, 0), 0)</f>
        <v>500</v>
      </c>
      <c r="F178" s="1">
        <f t="shared" si="7"/>
        <v>76205.218247940007</v>
      </c>
      <c r="G178" s="1"/>
      <c r="H178" s="4">
        <f t="shared" si="8"/>
        <v>0</v>
      </c>
    </row>
    <row r="179" spans="1:8" x14ac:dyDescent="0.25">
      <c r="A179">
        <v>172</v>
      </c>
      <c r="B179" s="1">
        <f t="shared" si="9"/>
        <v>76205.218247940007</v>
      </c>
      <c r="C179" s="8">
        <f>B179*int/12</f>
        <v>298.47043813776503</v>
      </c>
      <c r="D179" s="8">
        <f>pmt-C179</f>
        <v>1632.0178627411915</v>
      </c>
      <c r="E179" s="2">
        <f>IFERROR(IF(MOD(A179, interval)=0, extrapmt, 0), 0)</f>
        <v>0</v>
      </c>
      <c r="F179" s="1">
        <f t="shared" si="7"/>
        <v>74573.200385198812</v>
      </c>
      <c r="G179" s="1"/>
      <c r="H179" s="4">
        <f t="shared" si="8"/>
        <v>0</v>
      </c>
    </row>
    <row r="180" spans="1:8" x14ac:dyDescent="0.25">
      <c r="A180">
        <v>173</v>
      </c>
      <c r="B180" s="1">
        <f t="shared" si="9"/>
        <v>74573.200385198812</v>
      </c>
      <c r="C180" s="8">
        <f>B180*int/12</f>
        <v>292.07836817536202</v>
      </c>
      <c r="D180" s="8">
        <f>pmt-C180</f>
        <v>1638.4099327035947</v>
      </c>
      <c r="E180" s="2">
        <f>IFERROR(IF(MOD(A180, interval)=0, extrapmt, 0), 0)</f>
        <v>0</v>
      </c>
      <c r="F180" s="1">
        <f t="shared" si="7"/>
        <v>72934.790452495217</v>
      </c>
      <c r="G180" s="1"/>
      <c r="H180" s="4">
        <f t="shared" si="8"/>
        <v>0</v>
      </c>
    </row>
    <row r="181" spans="1:8" x14ac:dyDescent="0.25">
      <c r="A181">
        <v>174</v>
      </c>
      <c r="B181" s="1">
        <f t="shared" si="9"/>
        <v>72934.790452495217</v>
      </c>
      <c r="C181" s="8">
        <f>B181*int/12</f>
        <v>285.66126260560628</v>
      </c>
      <c r="D181" s="8">
        <f>pmt-C181</f>
        <v>1644.8270382733504</v>
      </c>
      <c r="E181" s="2">
        <f>IFERROR(IF(MOD(A181, interval)=0, extrapmt, 0), 0)</f>
        <v>500</v>
      </c>
      <c r="F181" s="1">
        <f t="shared" si="7"/>
        <v>70789.963414221871</v>
      </c>
      <c r="G181" s="1"/>
      <c r="H181" s="4">
        <f t="shared" si="8"/>
        <v>0</v>
      </c>
    </row>
    <row r="182" spans="1:8" x14ac:dyDescent="0.25">
      <c r="A182">
        <v>175</v>
      </c>
      <c r="B182" s="1">
        <f t="shared" si="9"/>
        <v>70789.963414221871</v>
      </c>
      <c r="C182" s="8">
        <f>B182*int/12</f>
        <v>277.26069003903564</v>
      </c>
      <c r="D182" s="8">
        <f>pmt-C182</f>
        <v>1653.227610839921</v>
      </c>
      <c r="E182" s="2">
        <f>IFERROR(IF(MOD(A182, interval)=0, extrapmt, 0), 0)</f>
        <v>0</v>
      </c>
      <c r="F182" s="1">
        <f t="shared" si="7"/>
        <v>69136.735803381947</v>
      </c>
      <c r="G182" s="1"/>
      <c r="H182" s="4">
        <f t="shared" si="8"/>
        <v>0</v>
      </c>
    </row>
    <row r="183" spans="1:8" x14ac:dyDescent="0.25">
      <c r="A183">
        <v>176</v>
      </c>
      <c r="B183" s="1">
        <f t="shared" si="9"/>
        <v>69136.735803381947</v>
      </c>
      <c r="C183" s="8">
        <f>B183*int/12</f>
        <v>270.78554856324598</v>
      </c>
      <c r="D183" s="8">
        <f>pmt-C183</f>
        <v>1659.7027523157105</v>
      </c>
      <c r="E183" s="2">
        <f>IFERROR(IF(MOD(A183, interval)=0, extrapmt, 0), 0)</f>
        <v>0</v>
      </c>
      <c r="F183" s="1">
        <f t="shared" si="7"/>
        <v>67477.033051066232</v>
      </c>
      <c r="G183" s="1"/>
      <c r="H183" s="4">
        <f t="shared" si="8"/>
        <v>0</v>
      </c>
    </row>
    <row r="184" spans="1:8" x14ac:dyDescent="0.25">
      <c r="A184">
        <v>177</v>
      </c>
      <c r="B184" s="1">
        <f t="shared" si="9"/>
        <v>67477.033051066232</v>
      </c>
      <c r="C184" s="8">
        <f>B184*int/12</f>
        <v>264.28504611667609</v>
      </c>
      <c r="D184" s="8">
        <f>pmt-C184</f>
        <v>1666.2032547622805</v>
      </c>
      <c r="E184" s="2">
        <f>IFERROR(IF(MOD(A184, interval)=0, extrapmt, 0), 0)</f>
        <v>500</v>
      </c>
      <c r="F184" s="1">
        <f t="shared" si="7"/>
        <v>65310.829796303951</v>
      </c>
      <c r="G184" s="1"/>
      <c r="H184" s="4">
        <f t="shared" si="8"/>
        <v>0</v>
      </c>
    </row>
    <row r="185" spans="1:8" x14ac:dyDescent="0.25">
      <c r="A185">
        <v>178</v>
      </c>
      <c r="B185" s="1">
        <f t="shared" si="9"/>
        <v>65310.829796303951</v>
      </c>
      <c r="C185" s="8">
        <f>B185*int/12</f>
        <v>255.80075003552381</v>
      </c>
      <c r="D185" s="8">
        <f>pmt-C185</f>
        <v>1674.6875508434327</v>
      </c>
      <c r="E185" s="2">
        <f>IFERROR(IF(MOD(A185, interval)=0, extrapmt, 0), 0)</f>
        <v>0</v>
      </c>
      <c r="F185" s="1">
        <f t="shared" si="7"/>
        <v>63636.14224546052</v>
      </c>
      <c r="G185" s="1"/>
      <c r="H185" s="4">
        <f t="shared" si="8"/>
        <v>0</v>
      </c>
    </row>
    <row r="186" spans="1:8" x14ac:dyDescent="0.25">
      <c r="A186">
        <v>179</v>
      </c>
      <c r="B186" s="1">
        <f t="shared" si="9"/>
        <v>63636.14224546052</v>
      </c>
      <c r="C186" s="8">
        <f>B186*int/12</f>
        <v>249.2415571280537</v>
      </c>
      <c r="D186" s="8">
        <f>pmt-C186</f>
        <v>1681.2467437509029</v>
      </c>
      <c r="E186" s="2">
        <f>IFERROR(IF(MOD(A186, interval)=0, extrapmt, 0), 0)</f>
        <v>0</v>
      </c>
      <c r="F186" s="1">
        <f t="shared" si="7"/>
        <v>61954.895501709616</v>
      </c>
      <c r="G186" s="1"/>
      <c r="H186" s="4">
        <f t="shared" si="8"/>
        <v>0</v>
      </c>
    </row>
    <row r="187" spans="1:8" x14ac:dyDescent="0.25">
      <c r="A187">
        <v>180</v>
      </c>
      <c r="B187" s="1">
        <f t="shared" si="9"/>
        <v>61954.895501709616</v>
      </c>
      <c r="C187" s="8">
        <f>B187*int/12</f>
        <v>242.65667404836267</v>
      </c>
      <c r="D187" s="8">
        <f>pmt-C187</f>
        <v>1687.8316268305939</v>
      </c>
      <c r="E187" s="2">
        <f>IFERROR(IF(MOD(A187, interval)=0, extrapmt, 0), 0)</f>
        <v>500</v>
      </c>
      <c r="F187" s="1">
        <f t="shared" si="7"/>
        <v>59767.063874879022</v>
      </c>
      <c r="G187" s="1"/>
      <c r="H187" s="4">
        <f t="shared" si="8"/>
        <v>0</v>
      </c>
    </row>
    <row r="188" spans="1:8" x14ac:dyDescent="0.25">
      <c r="A188">
        <v>181</v>
      </c>
      <c r="B188" s="1">
        <f t="shared" si="9"/>
        <v>59767.063874879022</v>
      </c>
      <c r="C188" s="8">
        <f>B188*int/12</f>
        <v>234.0876668432762</v>
      </c>
      <c r="D188" s="8">
        <f>pmt-C188</f>
        <v>1696.4006340356805</v>
      </c>
      <c r="E188" s="2">
        <f>IFERROR(IF(MOD(A188, interval)=0, extrapmt, 0), 0)</f>
        <v>0</v>
      </c>
      <c r="F188" s="1">
        <f t="shared" si="7"/>
        <v>58070.663240843343</v>
      </c>
      <c r="G188" s="1"/>
      <c r="H188" s="4">
        <f t="shared" si="8"/>
        <v>0</v>
      </c>
    </row>
    <row r="189" spans="1:8" x14ac:dyDescent="0.25">
      <c r="A189">
        <v>182</v>
      </c>
      <c r="B189" s="1">
        <f t="shared" si="9"/>
        <v>58070.663240843343</v>
      </c>
      <c r="C189" s="8">
        <f>B189*int/12</f>
        <v>227.44343102663643</v>
      </c>
      <c r="D189" s="8">
        <f>pmt-C189</f>
        <v>1703.0448698523201</v>
      </c>
      <c r="E189" s="2">
        <f>IFERROR(IF(MOD(A189, interval)=0, extrapmt, 0), 0)</f>
        <v>0</v>
      </c>
      <c r="F189" s="1">
        <f t="shared" si="7"/>
        <v>56367.618370991026</v>
      </c>
      <c r="G189" s="1"/>
      <c r="H189" s="4">
        <f t="shared" si="8"/>
        <v>0</v>
      </c>
    </row>
    <row r="190" spans="1:8" x14ac:dyDescent="0.25">
      <c r="A190">
        <v>183</v>
      </c>
      <c r="B190" s="1">
        <f t="shared" si="9"/>
        <v>56367.618370991026</v>
      </c>
      <c r="C190" s="8">
        <f>B190*int/12</f>
        <v>220.77317195304818</v>
      </c>
      <c r="D190" s="8">
        <f>pmt-C190</f>
        <v>1709.7151289259084</v>
      </c>
      <c r="E190" s="2">
        <f>IFERROR(IF(MOD(A190, interval)=0, extrapmt, 0), 0)</f>
        <v>500</v>
      </c>
      <c r="F190" s="1">
        <f t="shared" si="7"/>
        <v>54157.90324206512</v>
      </c>
      <c r="G190" s="1"/>
      <c r="H190" s="4">
        <f t="shared" si="8"/>
        <v>0</v>
      </c>
    </row>
    <row r="191" spans="1:8" x14ac:dyDescent="0.25">
      <c r="A191">
        <v>184</v>
      </c>
      <c r="B191" s="1">
        <f t="shared" si="9"/>
        <v>54157.90324206512</v>
      </c>
      <c r="C191" s="8">
        <f>B191*int/12</f>
        <v>212.11845436475505</v>
      </c>
      <c r="D191" s="8">
        <f>pmt-C191</f>
        <v>1718.3698465142015</v>
      </c>
      <c r="E191" s="2">
        <f>IFERROR(IF(MOD(A191, interval)=0, extrapmt, 0), 0)</f>
        <v>0</v>
      </c>
      <c r="F191" s="1">
        <f t="shared" si="7"/>
        <v>52439.53339555092</v>
      </c>
      <c r="G191" s="1"/>
      <c r="H191" s="4">
        <f t="shared" si="8"/>
        <v>0</v>
      </c>
    </row>
    <row r="192" spans="1:8" x14ac:dyDescent="0.25">
      <c r="A192">
        <v>185</v>
      </c>
      <c r="B192" s="1">
        <f t="shared" si="9"/>
        <v>52439.53339555092</v>
      </c>
      <c r="C192" s="8">
        <f>B192*int/12</f>
        <v>205.38817246590779</v>
      </c>
      <c r="D192" s="8">
        <f>pmt-C192</f>
        <v>1725.1001284130489</v>
      </c>
      <c r="E192" s="2">
        <f>IFERROR(IF(MOD(A192, interval)=0, extrapmt, 0), 0)</f>
        <v>0</v>
      </c>
      <c r="F192" s="1">
        <f t="shared" si="7"/>
        <v>50714.433267137872</v>
      </c>
      <c r="G192" s="1"/>
      <c r="H192" s="4">
        <f t="shared" si="8"/>
        <v>0</v>
      </c>
    </row>
    <row r="193" spans="1:8" x14ac:dyDescent="0.25">
      <c r="A193">
        <v>186</v>
      </c>
      <c r="B193" s="1">
        <f t="shared" si="9"/>
        <v>50714.433267137872</v>
      </c>
      <c r="C193" s="8">
        <f>B193*int/12</f>
        <v>198.63153029628998</v>
      </c>
      <c r="D193" s="8">
        <f>pmt-C193</f>
        <v>1731.8567705826665</v>
      </c>
      <c r="E193" s="2">
        <f>IFERROR(IF(MOD(A193, interval)=0, extrapmt, 0), 0)</f>
        <v>500</v>
      </c>
      <c r="F193" s="1">
        <f t="shared" si="7"/>
        <v>48482.576496555208</v>
      </c>
      <c r="G193" s="1"/>
      <c r="H193" s="4">
        <f t="shared" si="8"/>
        <v>0</v>
      </c>
    </row>
    <row r="194" spans="1:8" x14ac:dyDescent="0.25">
      <c r="A194">
        <v>187</v>
      </c>
      <c r="B194" s="1">
        <f t="shared" si="9"/>
        <v>48482.576496555208</v>
      </c>
      <c r="C194" s="8">
        <f>B194*int/12</f>
        <v>189.89009127817454</v>
      </c>
      <c r="D194" s="8">
        <f>pmt-C194</f>
        <v>1740.598209600782</v>
      </c>
      <c r="E194" s="2">
        <f>IFERROR(IF(MOD(A194, interval)=0, extrapmt, 0), 0)</f>
        <v>0</v>
      </c>
      <c r="F194" s="1">
        <f t="shared" si="7"/>
        <v>46741.978286954429</v>
      </c>
      <c r="G194" s="1"/>
      <c r="H194" s="4">
        <f t="shared" si="8"/>
        <v>0</v>
      </c>
    </row>
    <row r="195" spans="1:8" x14ac:dyDescent="0.25">
      <c r="A195">
        <v>188</v>
      </c>
      <c r="B195" s="1">
        <f t="shared" si="9"/>
        <v>46741.978286954429</v>
      </c>
      <c r="C195" s="8">
        <f>B195*int/12</f>
        <v>183.07274829057152</v>
      </c>
      <c r="D195" s="8">
        <f>pmt-C195</f>
        <v>1747.415552588385</v>
      </c>
      <c r="E195" s="2">
        <f>IFERROR(IF(MOD(A195, interval)=0, extrapmt, 0), 0)</f>
        <v>0</v>
      </c>
      <c r="F195" s="1">
        <f t="shared" si="7"/>
        <v>44994.562734366045</v>
      </c>
      <c r="G195" s="1"/>
      <c r="H195" s="4">
        <f t="shared" si="8"/>
        <v>0</v>
      </c>
    </row>
    <row r="196" spans="1:8" x14ac:dyDescent="0.25">
      <c r="A196">
        <v>189</v>
      </c>
      <c r="B196" s="1">
        <f t="shared" si="9"/>
        <v>44994.562734366045</v>
      </c>
      <c r="C196" s="8">
        <f>B196*int/12</f>
        <v>176.22870404293369</v>
      </c>
      <c r="D196" s="8">
        <f>pmt-C196</f>
        <v>1754.2595968360229</v>
      </c>
      <c r="E196" s="2">
        <f>IFERROR(IF(MOD(A196, interval)=0, extrapmt, 0), 0)</f>
        <v>500</v>
      </c>
      <c r="F196" s="1">
        <f t="shared" si="7"/>
        <v>42740.30313753002</v>
      </c>
      <c r="G196" s="1"/>
      <c r="H196" s="4">
        <f t="shared" si="8"/>
        <v>0</v>
      </c>
    </row>
    <row r="197" spans="1:8" x14ac:dyDescent="0.25">
      <c r="A197">
        <v>190</v>
      </c>
      <c r="B197" s="1">
        <f t="shared" si="9"/>
        <v>42740.30313753002</v>
      </c>
      <c r="C197" s="8">
        <f>B197*int/12</f>
        <v>167.39952062199259</v>
      </c>
      <c r="D197" s="8">
        <f>pmt-C197</f>
        <v>1763.0887802569639</v>
      </c>
      <c r="E197" s="2">
        <f>IFERROR(IF(MOD(A197, interval)=0, extrapmt, 0), 0)</f>
        <v>0</v>
      </c>
      <c r="F197" s="1">
        <f t="shared" si="7"/>
        <v>40977.214357273057</v>
      </c>
      <c r="G197" s="1"/>
      <c r="H197" s="4">
        <f t="shared" si="8"/>
        <v>0</v>
      </c>
    </row>
    <row r="198" spans="1:8" x14ac:dyDescent="0.25">
      <c r="A198">
        <v>191</v>
      </c>
      <c r="B198" s="1">
        <f t="shared" si="9"/>
        <v>40977.214357273057</v>
      </c>
      <c r="C198" s="8">
        <f>B198*int/12</f>
        <v>160.49408956598614</v>
      </c>
      <c r="D198" s="8">
        <f>pmt-C198</f>
        <v>1769.9942113129705</v>
      </c>
      <c r="E198" s="2">
        <f>IFERROR(IF(MOD(A198, interval)=0, extrapmt, 0), 0)</f>
        <v>0</v>
      </c>
      <c r="F198" s="1">
        <f t="shared" si="7"/>
        <v>39207.220145960084</v>
      </c>
      <c r="G198" s="1"/>
      <c r="H198" s="4">
        <f t="shared" si="8"/>
        <v>0</v>
      </c>
    </row>
    <row r="199" spans="1:8" x14ac:dyDescent="0.25">
      <c r="A199">
        <v>192</v>
      </c>
      <c r="B199" s="1">
        <f t="shared" si="9"/>
        <v>39207.220145960084</v>
      </c>
      <c r="C199" s="8">
        <f>B199*int/12</f>
        <v>153.56161223834366</v>
      </c>
      <c r="D199" s="8">
        <f>pmt-C199</f>
        <v>1776.9266886406128</v>
      </c>
      <c r="E199" s="2">
        <f>IFERROR(IF(MOD(A199, interval)=0, extrapmt, 0), 0)</f>
        <v>500</v>
      </c>
      <c r="F199" s="1">
        <f t="shared" si="7"/>
        <v>36930.293457319473</v>
      </c>
      <c r="G199" s="1"/>
      <c r="H199" s="4">
        <f t="shared" si="8"/>
        <v>0</v>
      </c>
    </row>
    <row r="200" spans="1:8" x14ac:dyDescent="0.25">
      <c r="A200">
        <v>193</v>
      </c>
      <c r="B200" s="1">
        <f t="shared" si="9"/>
        <v>36930.293457319473</v>
      </c>
      <c r="C200" s="8">
        <f>B200*int/12</f>
        <v>144.64364937450128</v>
      </c>
      <c r="D200" s="8">
        <f>pmt-C200</f>
        <v>1785.8446515044552</v>
      </c>
      <c r="E200" s="2">
        <f>IFERROR(IF(MOD(A200, interval)=0, extrapmt, 0), 0)</f>
        <v>0</v>
      </c>
      <c r="F200" s="1">
        <f t="shared" si="7"/>
        <v>35144.448805815016</v>
      </c>
      <c r="G200" s="1"/>
      <c r="H200" s="4">
        <f t="shared" si="8"/>
        <v>0</v>
      </c>
    </row>
    <row r="201" spans="1:8" x14ac:dyDescent="0.25">
      <c r="A201">
        <v>194</v>
      </c>
      <c r="B201" s="1">
        <f t="shared" si="9"/>
        <v>35144.448805815016</v>
      </c>
      <c r="C201" s="8">
        <f>B201*int/12</f>
        <v>137.64909115610882</v>
      </c>
      <c r="D201" s="8">
        <f>pmt-C201</f>
        <v>1792.8392097228477</v>
      </c>
      <c r="E201" s="2">
        <f>IFERROR(IF(MOD(A201, interval)=0, extrapmt, 0), 0)</f>
        <v>0</v>
      </c>
      <c r="F201" s="1">
        <f t="shared" ref="F201:F264" si="10">IF(B201-D201-E201&lt;0, 0, B201-D201-E201)</f>
        <v>33351.609596092167</v>
      </c>
      <c r="G201" s="1"/>
      <c r="H201" s="4">
        <f t="shared" ref="H201:H264" si="11">(F201&gt;0)*(F202=0)</f>
        <v>0</v>
      </c>
    </row>
    <row r="202" spans="1:8" x14ac:dyDescent="0.25">
      <c r="A202">
        <v>195</v>
      </c>
      <c r="B202" s="1">
        <f t="shared" si="9"/>
        <v>33351.609596092167</v>
      </c>
      <c r="C202" s="8">
        <f>B202*int/12</f>
        <v>130.62713758469431</v>
      </c>
      <c r="D202" s="8">
        <f>pmt-C202</f>
        <v>1799.8611632942623</v>
      </c>
      <c r="E202" s="2">
        <f>IFERROR(IF(MOD(A202, interval)=0, extrapmt, 0), 0)</f>
        <v>500</v>
      </c>
      <c r="F202" s="1">
        <f t="shared" si="10"/>
        <v>31051.748432797904</v>
      </c>
      <c r="G202" s="1"/>
      <c r="H202" s="4">
        <f t="shared" si="11"/>
        <v>0</v>
      </c>
    </row>
    <row r="203" spans="1:8" x14ac:dyDescent="0.25">
      <c r="A203">
        <v>196</v>
      </c>
      <c r="B203" s="1">
        <f t="shared" si="9"/>
        <v>31051.748432797904</v>
      </c>
      <c r="C203" s="8">
        <f>B203*int/12</f>
        <v>121.61934802845845</v>
      </c>
      <c r="D203" s="8">
        <f>pmt-C203</f>
        <v>1808.8689528504981</v>
      </c>
      <c r="E203" s="2">
        <f>IFERROR(IF(MOD(A203, interval)=0, extrapmt, 0), 0)</f>
        <v>0</v>
      </c>
      <c r="F203" s="1">
        <f t="shared" si="10"/>
        <v>29242.879479947405</v>
      </c>
      <c r="G203" s="1"/>
      <c r="H203" s="4">
        <f t="shared" si="11"/>
        <v>0</v>
      </c>
    </row>
    <row r="204" spans="1:8" x14ac:dyDescent="0.25">
      <c r="A204">
        <v>197</v>
      </c>
      <c r="B204" s="1">
        <f t="shared" ref="B204:B267" si="12">F203</f>
        <v>29242.879479947405</v>
      </c>
      <c r="C204" s="8">
        <f>B204*int/12</f>
        <v>114.53461129646068</v>
      </c>
      <c r="D204" s="8">
        <f>pmt-C204</f>
        <v>1815.9536895824958</v>
      </c>
      <c r="E204" s="2">
        <f>IFERROR(IF(MOD(A204, interval)=0, extrapmt, 0), 0)</f>
        <v>0</v>
      </c>
      <c r="F204" s="1">
        <f t="shared" si="10"/>
        <v>27426.925790364909</v>
      </c>
      <c r="G204" s="1"/>
      <c r="H204" s="4">
        <f t="shared" si="11"/>
        <v>0</v>
      </c>
    </row>
    <row r="205" spans="1:8" x14ac:dyDescent="0.25">
      <c r="A205">
        <v>198</v>
      </c>
      <c r="B205" s="1">
        <f t="shared" si="12"/>
        <v>27426.925790364909</v>
      </c>
      <c r="C205" s="8">
        <f>B205*int/12</f>
        <v>107.42212601226255</v>
      </c>
      <c r="D205" s="8">
        <f>pmt-C205</f>
        <v>1823.0661748666939</v>
      </c>
      <c r="E205" s="2">
        <f>IFERROR(IF(MOD(A205, interval)=0, extrapmt, 0), 0)</f>
        <v>500</v>
      </c>
      <c r="F205" s="1">
        <f t="shared" si="10"/>
        <v>25103.859615498215</v>
      </c>
      <c r="G205" s="1"/>
      <c r="H205" s="4">
        <f t="shared" si="11"/>
        <v>0</v>
      </c>
    </row>
    <row r="206" spans="1:8" x14ac:dyDescent="0.25">
      <c r="A206">
        <v>199</v>
      </c>
      <c r="B206" s="1">
        <f t="shared" si="12"/>
        <v>25103.859615498215</v>
      </c>
      <c r="C206" s="8">
        <f>B206*int/12</f>
        <v>98.323450160701341</v>
      </c>
      <c r="D206" s="8">
        <f>pmt-C206</f>
        <v>1832.1648507182551</v>
      </c>
      <c r="E206" s="2">
        <f>IFERROR(IF(MOD(A206, interval)=0, extrapmt, 0), 0)</f>
        <v>0</v>
      </c>
      <c r="F206" s="1">
        <f t="shared" si="10"/>
        <v>23271.694764779961</v>
      </c>
      <c r="G206" s="1"/>
      <c r="H206" s="4">
        <f t="shared" si="11"/>
        <v>0</v>
      </c>
    </row>
    <row r="207" spans="1:8" x14ac:dyDescent="0.25">
      <c r="A207">
        <v>200</v>
      </c>
      <c r="B207" s="1">
        <f t="shared" si="12"/>
        <v>23271.694764779961</v>
      </c>
      <c r="C207" s="8">
        <f>B207*int/12</f>
        <v>91.147471162054842</v>
      </c>
      <c r="D207" s="8">
        <f>pmt-C207</f>
        <v>1839.3408297169017</v>
      </c>
      <c r="E207" s="2">
        <f>IFERROR(IF(MOD(A207, interval)=0, extrapmt, 0), 0)</f>
        <v>0</v>
      </c>
      <c r="F207" s="1">
        <f t="shared" si="10"/>
        <v>21432.35393506306</v>
      </c>
      <c r="G207" s="1"/>
      <c r="H207" s="4">
        <f t="shared" si="11"/>
        <v>0</v>
      </c>
    </row>
    <row r="208" spans="1:8" x14ac:dyDescent="0.25">
      <c r="A208">
        <v>201</v>
      </c>
      <c r="B208" s="1">
        <f t="shared" si="12"/>
        <v>21432.35393506306</v>
      </c>
      <c r="C208" s="8">
        <f>B208*int/12</f>
        <v>83.94338624566366</v>
      </c>
      <c r="D208" s="8">
        <f>pmt-C208</f>
        <v>1846.5449146332928</v>
      </c>
      <c r="E208" s="2">
        <f>IFERROR(IF(MOD(A208, interval)=0, extrapmt, 0), 0)</f>
        <v>500</v>
      </c>
      <c r="F208" s="1">
        <f t="shared" si="10"/>
        <v>19085.809020429766</v>
      </c>
      <c r="G208" s="1"/>
      <c r="H208" s="4">
        <f t="shared" si="11"/>
        <v>0</v>
      </c>
    </row>
    <row r="209" spans="1:8" x14ac:dyDescent="0.25">
      <c r="A209">
        <v>202</v>
      </c>
      <c r="B209" s="1">
        <f t="shared" si="12"/>
        <v>19085.809020429766</v>
      </c>
      <c r="C209" s="8">
        <f>B209*int/12</f>
        <v>74.752751996683244</v>
      </c>
      <c r="D209" s="8">
        <f>pmt-C209</f>
        <v>1855.7355488822734</v>
      </c>
      <c r="E209" s="2">
        <f>IFERROR(IF(MOD(A209, interval)=0, extrapmt, 0), 0)</f>
        <v>0</v>
      </c>
      <c r="F209" s="1">
        <f t="shared" si="10"/>
        <v>17230.073471547494</v>
      </c>
      <c r="G209" s="1"/>
      <c r="H209" s="4">
        <f t="shared" si="11"/>
        <v>0</v>
      </c>
    </row>
    <row r="210" spans="1:8" x14ac:dyDescent="0.25">
      <c r="A210">
        <v>203</v>
      </c>
      <c r="B210" s="1">
        <f t="shared" si="12"/>
        <v>17230.073471547494</v>
      </c>
      <c r="C210" s="8">
        <f>B210*int/12</f>
        <v>67.484454430227686</v>
      </c>
      <c r="D210" s="8">
        <f>pmt-C210</f>
        <v>1863.0038464487288</v>
      </c>
      <c r="E210" s="2">
        <f>IFERROR(IF(MOD(A210, interval)=0, extrapmt, 0), 0)</f>
        <v>0</v>
      </c>
      <c r="F210" s="1">
        <f t="shared" si="10"/>
        <v>15367.069625098764</v>
      </c>
      <c r="G210" s="1"/>
      <c r="H210" s="4">
        <f t="shared" si="11"/>
        <v>0</v>
      </c>
    </row>
    <row r="211" spans="1:8" x14ac:dyDescent="0.25">
      <c r="A211">
        <v>204</v>
      </c>
      <c r="B211" s="1">
        <f t="shared" si="12"/>
        <v>15367.069625098764</v>
      </c>
      <c r="C211" s="8">
        <f>B211*int/12</f>
        <v>60.187689364970161</v>
      </c>
      <c r="D211" s="8">
        <f>pmt-C211</f>
        <v>1870.3006115139865</v>
      </c>
      <c r="E211" s="2">
        <f>IFERROR(IF(MOD(A211, interval)=0, extrapmt, 0), 0)</f>
        <v>500</v>
      </c>
      <c r="F211" s="1">
        <f t="shared" si="10"/>
        <v>12996.769013584777</v>
      </c>
      <c r="G211" s="1"/>
      <c r="H211" s="4">
        <f t="shared" si="11"/>
        <v>0</v>
      </c>
    </row>
    <row r="212" spans="1:8" x14ac:dyDescent="0.25">
      <c r="A212">
        <v>205</v>
      </c>
      <c r="B212" s="1">
        <f t="shared" si="12"/>
        <v>12996.769013584777</v>
      </c>
      <c r="C212" s="8">
        <f>B212*int/12</f>
        <v>50.904011969873714</v>
      </c>
      <c r="D212" s="8">
        <f>pmt-C212</f>
        <v>1879.5842889090829</v>
      </c>
      <c r="E212" s="2">
        <f>IFERROR(IF(MOD(A212, interval)=0, extrapmt, 0), 0)</f>
        <v>0</v>
      </c>
      <c r="F212" s="1">
        <f t="shared" si="10"/>
        <v>11117.184724675693</v>
      </c>
      <c r="G212" s="1"/>
      <c r="H212" s="4">
        <f t="shared" si="11"/>
        <v>0</v>
      </c>
    </row>
    <row r="213" spans="1:8" x14ac:dyDescent="0.25">
      <c r="A213">
        <v>206</v>
      </c>
      <c r="B213" s="1">
        <f t="shared" si="12"/>
        <v>11117.184724675693</v>
      </c>
      <c r="C213" s="8">
        <f>B213*int/12</f>
        <v>43.542306838313131</v>
      </c>
      <c r="D213" s="8">
        <f>pmt-C213</f>
        <v>1886.9459940406434</v>
      </c>
      <c r="E213" s="2">
        <f>IFERROR(IF(MOD(A213, interval)=0, extrapmt, 0), 0)</f>
        <v>0</v>
      </c>
      <c r="F213" s="1">
        <f t="shared" si="10"/>
        <v>9230.2387306350502</v>
      </c>
      <c r="G213" s="1"/>
      <c r="H213" s="4">
        <f t="shared" si="11"/>
        <v>0</v>
      </c>
    </row>
    <row r="214" spans="1:8" x14ac:dyDescent="0.25">
      <c r="A214">
        <v>207</v>
      </c>
      <c r="B214" s="1">
        <f t="shared" si="12"/>
        <v>9230.2387306350502</v>
      </c>
      <c r="C214" s="8">
        <f>B214*int/12</f>
        <v>36.151768361653943</v>
      </c>
      <c r="D214" s="8">
        <f>pmt-C214</f>
        <v>1894.3365325173027</v>
      </c>
      <c r="E214" s="2">
        <f>IFERROR(IF(MOD(A214, interval)=0, extrapmt, 0), 0)</f>
        <v>500</v>
      </c>
      <c r="F214" s="1">
        <f t="shared" si="10"/>
        <v>6835.9021981177475</v>
      </c>
      <c r="G214" s="1"/>
      <c r="H214" s="4">
        <f t="shared" si="11"/>
        <v>0</v>
      </c>
    </row>
    <row r="215" spans="1:8" x14ac:dyDescent="0.25">
      <c r="A215">
        <v>208</v>
      </c>
      <c r="B215" s="1">
        <f t="shared" si="12"/>
        <v>6835.9021981177475</v>
      </c>
      <c r="C215" s="8">
        <f>B215*int/12</f>
        <v>26.77395027596118</v>
      </c>
      <c r="D215" s="8">
        <f>pmt-C215</f>
        <v>1903.7143506029954</v>
      </c>
      <c r="E215" s="2">
        <f>IFERROR(IF(MOD(A215, interval)=0, extrapmt, 0), 0)</f>
        <v>0</v>
      </c>
      <c r="F215" s="1">
        <f t="shared" si="10"/>
        <v>4932.1878475147523</v>
      </c>
      <c r="G215" s="1"/>
      <c r="H215" s="4">
        <f t="shared" si="11"/>
        <v>0</v>
      </c>
    </row>
    <row r="216" spans="1:8" x14ac:dyDescent="0.25">
      <c r="A216">
        <v>209</v>
      </c>
      <c r="B216" s="1">
        <f t="shared" si="12"/>
        <v>4932.1878475147523</v>
      </c>
      <c r="C216" s="8">
        <f>B216*int/12</f>
        <v>19.317735736099447</v>
      </c>
      <c r="D216" s="8">
        <f>pmt-C216</f>
        <v>1911.1705651428572</v>
      </c>
      <c r="E216" s="2">
        <f>IFERROR(IF(MOD(A216, interval)=0, extrapmt, 0), 0)</f>
        <v>0</v>
      </c>
      <c r="F216" s="1">
        <f t="shared" si="10"/>
        <v>3021.0172823718949</v>
      </c>
      <c r="G216" s="1"/>
      <c r="H216" s="4">
        <f t="shared" si="11"/>
        <v>0</v>
      </c>
    </row>
    <row r="217" spans="1:8" x14ac:dyDescent="0.25">
      <c r="A217">
        <v>210</v>
      </c>
      <c r="B217" s="1">
        <f t="shared" si="12"/>
        <v>3021.0172823718949</v>
      </c>
      <c r="C217" s="8">
        <f>B217*int/12</f>
        <v>11.832317689289923</v>
      </c>
      <c r="D217" s="8">
        <f>pmt-C217</f>
        <v>1918.6559831896666</v>
      </c>
      <c r="E217" s="2">
        <f>IFERROR(IF(MOD(A217, interval)=0, extrapmt, 0), 0)</f>
        <v>500</v>
      </c>
      <c r="F217" s="1">
        <f t="shared" si="10"/>
        <v>602.36129918222832</v>
      </c>
      <c r="G217" s="3"/>
      <c r="H217" s="4">
        <f t="shared" si="11"/>
        <v>1</v>
      </c>
    </row>
    <row r="218" spans="1:8" x14ac:dyDescent="0.25">
      <c r="A218">
        <v>211</v>
      </c>
      <c r="B218" s="1">
        <f t="shared" si="12"/>
        <v>602.36129918222832</v>
      </c>
      <c r="C218" s="8">
        <f>B218*int/12</f>
        <v>2.3592484217970608</v>
      </c>
      <c r="D218" s="8">
        <f>pmt-C218</f>
        <v>1928.1290524571596</v>
      </c>
      <c r="E218" s="2">
        <f>IFERROR(IF(MOD(A218, interval)=0, extrapmt, 0), 0)</f>
        <v>0</v>
      </c>
      <c r="F218" s="1">
        <f t="shared" si="10"/>
        <v>0</v>
      </c>
      <c r="G218" s="1"/>
      <c r="H218" s="4">
        <f t="shared" si="11"/>
        <v>0</v>
      </c>
    </row>
    <row r="219" spans="1:8" x14ac:dyDescent="0.25">
      <c r="A219">
        <v>212</v>
      </c>
      <c r="B219" s="1">
        <f t="shared" si="12"/>
        <v>0</v>
      </c>
      <c r="C219" s="8">
        <f>B219*int/12</f>
        <v>0</v>
      </c>
      <c r="D219" s="8">
        <f>pmt-C219</f>
        <v>1930.4883008789566</v>
      </c>
      <c r="E219" s="2">
        <f>IFERROR(IF(MOD(A219, interval)=0, extrapmt, 0), 0)</f>
        <v>0</v>
      </c>
      <c r="F219" s="1">
        <f t="shared" si="10"/>
        <v>0</v>
      </c>
      <c r="G219" s="1"/>
      <c r="H219" s="4">
        <f t="shared" si="11"/>
        <v>0</v>
      </c>
    </row>
    <row r="220" spans="1:8" x14ac:dyDescent="0.25">
      <c r="A220">
        <v>213</v>
      </c>
      <c r="B220" s="1">
        <f t="shared" si="12"/>
        <v>0</v>
      </c>
      <c r="C220" s="8">
        <f>B220*int/12</f>
        <v>0</v>
      </c>
      <c r="D220" s="8">
        <f>pmt-C220</f>
        <v>1930.4883008789566</v>
      </c>
      <c r="E220" s="2">
        <f>IFERROR(IF(MOD(A220, interval)=0, extrapmt, 0), 0)</f>
        <v>500</v>
      </c>
      <c r="F220" s="1">
        <f t="shared" si="10"/>
        <v>0</v>
      </c>
      <c r="G220" s="1"/>
      <c r="H220" s="4">
        <f t="shared" si="11"/>
        <v>0</v>
      </c>
    </row>
    <row r="221" spans="1:8" x14ac:dyDescent="0.25">
      <c r="A221">
        <v>214</v>
      </c>
      <c r="B221" s="1">
        <f t="shared" si="12"/>
        <v>0</v>
      </c>
      <c r="C221" s="8">
        <f>B221*int/12</f>
        <v>0</v>
      </c>
      <c r="D221" s="8">
        <f>pmt-C221</f>
        <v>1930.4883008789566</v>
      </c>
      <c r="E221" s="2">
        <f>IFERROR(IF(MOD(A221, interval)=0, extrapmt, 0), 0)</f>
        <v>0</v>
      </c>
      <c r="F221" s="1">
        <f t="shared" si="10"/>
        <v>0</v>
      </c>
      <c r="G221" s="1"/>
      <c r="H221" s="4">
        <f t="shared" si="11"/>
        <v>0</v>
      </c>
    </row>
    <row r="222" spans="1:8" x14ac:dyDescent="0.25">
      <c r="A222">
        <v>215</v>
      </c>
      <c r="B222" s="1">
        <f t="shared" si="12"/>
        <v>0</v>
      </c>
      <c r="C222" s="8">
        <f>B222*int/12</f>
        <v>0</v>
      </c>
      <c r="D222" s="8">
        <f>pmt-C222</f>
        <v>1930.4883008789566</v>
      </c>
      <c r="E222" s="2">
        <f>IFERROR(IF(MOD(A222, interval)=0, extrapmt, 0), 0)</f>
        <v>0</v>
      </c>
      <c r="F222" s="1">
        <f t="shared" si="10"/>
        <v>0</v>
      </c>
      <c r="G222" s="1"/>
      <c r="H222" s="4">
        <f t="shared" si="11"/>
        <v>0</v>
      </c>
    </row>
    <row r="223" spans="1:8" x14ac:dyDescent="0.25">
      <c r="A223">
        <v>216</v>
      </c>
      <c r="B223" s="1">
        <f t="shared" si="12"/>
        <v>0</v>
      </c>
      <c r="C223" s="8">
        <f>B223*int/12</f>
        <v>0</v>
      </c>
      <c r="D223" s="8">
        <f>pmt-C223</f>
        <v>1930.4883008789566</v>
      </c>
      <c r="E223" s="2">
        <f>IFERROR(IF(MOD(A223, interval)=0, extrapmt, 0), 0)</f>
        <v>500</v>
      </c>
      <c r="F223" s="1">
        <f t="shared" si="10"/>
        <v>0</v>
      </c>
      <c r="G223" s="1"/>
      <c r="H223" s="4">
        <f t="shared" si="11"/>
        <v>0</v>
      </c>
    </row>
    <row r="224" spans="1:8" x14ac:dyDescent="0.25">
      <c r="A224">
        <v>217</v>
      </c>
      <c r="B224" s="1">
        <f t="shared" si="12"/>
        <v>0</v>
      </c>
      <c r="C224" s="8">
        <f>B224*int/12</f>
        <v>0</v>
      </c>
      <c r="D224" s="8">
        <f>pmt-C224</f>
        <v>1930.4883008789566</v>
      </c>
      <c r="E224" s="2">
        <f>IFERROR(IF(MOD(A224, interval)=0, extrapmt, 0), 0)</f>
        <v>0</v>
      </c>
      <c r="F224" s="1">
        <f t="shared" si="10"/>
        <v>0</v>
      </c>
      <c r="G224" s="1"/>
      <c r="H224" s="4">
        <f t="shared" si="11"/>
        <v>0</v>
      </c>
    </row>
    <row r="225" spans="1:8" x14ac:dyDescent="0.25">
      <c r="A225">
        <v>218</v>
      </c>
      <c r="B225" s="1">
        <f t="shared" si="12"/>
        <v>0</v>
      </c>
      <c r="C225" s="8">
        <f>B225*int/12</f>
        <v>0</v>
      </c>
      <c r="D225" s="8">
        <f>pmt-C225</f>
        <v>1930.4883008789566</v>
      </c>
      <c r="E225" s="2">
        <f>IFERROR(IF(MOD(A225, interval)=0, extrapmt, 0), 0)</f>
        <v>0</v>
      </c>
      <c r="F225" s="1">
        <f t="shared" si="10"/>
        <v>0</v>
      </c>
      <c r="G225" s="1"/>
      <c r="H225" s="4">
        <f t="shared" si="11"/>
        <v>0</v>
      </c>
    </row>
    <row r="226" spans="1:8" x14ac:dyDescent="0.25">
      <c r="A226">
        <v>219</v>
      </c>
      <c r="B226" s="1">
        <f t="shared" si="12"/>
        <v>0</v>
      </c>
      <c r="C226" s="8">
        <f>B226*int/12</f>
        <v>0</v>
      </c>
      <c r="D226" s="8">
        <f>pmt-C226</f>
        <v>1930.4883008789566</v>
      </c>
      <c r="E226" s="2">
        <f>IFERROR(IF(MOD(A226, interval)=0, extrapmt, 0), 0)</f>
        <v>500</v>
      </c>
      <c r="F226" s="1">
        <f t="shared" si="10"/>
        <v>0</v>
      </c>
      <c r="G226" s="1"/>
      <c r="H226" s="4">
        <f t="shared" si="11"/>
        <v>0</v>
      </c>
    </row>
    <row r="227" spans="1:8" x14ac:dyDescent="0.25">
      <c r="A227">
        <v>220</v>
      </c>
      <c r="B227" s="1">
        <f t="shared" si="12"/>
        <v>0</v>
      </c>
      <c r="C227" s="8">
        <f>B227*int/12</f>
        <v>0</v>
      </c>
      <c r="D227" s="8">
        <f>pmt-C227</f>
        <v>1930.4883008789566</v>
      </c>
      <c r="E227" s="2">
        <f>IFERROR(IF(MOD(A227, interval)=0, extrapmt, 0), 0)</f>
        <v>0</v>
      </c>
      <c r="F227" s="1">
        <f t="shared" si="10"/>
        <v>0</v>
      </c>
      <c r="G227" s="1"/>
      <c r="H227" s="4">
        <f t="shared" si="11"/>
        <v>0</v>
      </c>
    </row>
    <row r="228" spans="1:8" x14ac:dyDescent="0.25">
      <c r="A228">
        <v>221</v>
      </c>
      <c r="B228" s="1">
        <f t="shared" si="12"/>
        <v>0</v>
      </c>
      <c r="C228" s="8">
        <f>B228*int/12</f>
        <v>0</v>
      </c>
      <c r="D228" s="8">
        <f>pmt-C228</f>
        <v>1930.4883008789566</v>
      </c>
      <c r="E228" s="2">
        <f>IFERROR(IF(MOD(A228, interval)=0, extrapmt, 0), 0)</f>
        <v>0</v>
      </c>
      <c r="F228" s="1">
        <f t="shared" si="10"/>
        <v>0</v>
      </c>
      <c r="G228" s="1"/>
      <c r="H228" s="4">
        <f t="shared" si="11"/>
        <v>0</v>
      </c>
    </row>
    <row r="229" spans="1:8" x14ac:dyDescent="0.25">
      <c r="A229">
        <v>222</v>
      </c>
      <c r="B229" s="1">
        <f t="shared" si="12"/>
        <v>0</v>
      </c>
      <c r="C229" s="8">
        <f>B229*int/12</f>
        <v>0</v>
      </c>
      <c r="D229" s="8">
        <f>pmt-C229</f>
        <v>1930.4883008789566</v>
      </c>
      <c r="E229" s="2">
        <f>IFERROR(IF(MOD(A229, interval)=0, extrapmt, 0), 0)</f>
        <v>500</v>
      </c>
      <c r="F229" s="1">
        <f t="shared" si="10"/>
        <v>0</v>
      </c>
      <c r="G229" s="1"/>
      <c r="H229" s="4">
        <f t="shared" si="11"/>
        <v>0</v>
      </c>
    </row>
    <row r="230" spans="1:8" x14ac:dyDescent="0.25">
      <c r="A230">
        <v>223</v>
      </c>
      <c r="B230" s="1">
        <f t="shared" si="12"/>
        <v>0</v>
      </c>
      <c r="C230" s="8">
        <f>B230*int/12</f>
        <v>0</v>
      </c>
      <c r="D230" s="8">
        <f>pmt-C230</f>
        <v>1930.4883008789566</v>
      </c>
      <c r="E230" s="2">
        <f>IFERROR(IF(MOD(A230, interval)=0, extrapmt, 0), 0)</f>
        <v>0</v>
      </c>
      <c r="F230" s="1">
        <f t="shared" si="10"/>
        <v>0</v>
      </c>
      <c r="G230" s="1"/>
      <c r="H230" s="4">
        <f t="shared" si="11"/>
        <v>0</v>
      </c>
    </row>
    <row r="231" spans="1:8" x14ac:dyDescent="0.25">
      <c r="A231">
        <v>224</v>
      </c>
      <c r="B231" s="1">
        <f t="shared" si="12"/>
        <v>0</v>
      </c>
      <c r="C231" s="8">
        <f>B231*int/12</f>
        <v>0</v>
      </c>
      <c r="D231" s="8">
        <f>pmt-C231</f>
        <v>1930.4883008789566</v>
      </c>
      <c r="E231" s="2">
        <f>IFERROR(IF(MOD(A231, interval)=0, extrapmt, 0), 0)</f>
        <v>0</v>
      </c>
      <c r="F231" s="1">
        <f t="shared" si="10"/>
        <v>0</v>
      </c>
      <c r="G231" s="1"/>
      <c r="H231" s="4">
        <f t="shared" si="11"/>
        <v>0</v>
      </c>
    </row>
    <row r="232" spans="1:8" x14ac:dyDescent="0.25">
      <c r="A232">
        <v>225</v>
      </c>
      <c r="B232" s="1">
        <f t="shared" si="12"/>
        <v>0</v>
      </c>
      <c r="C232" s="8">
        <f>B232*int/12</f>
        <v>0</v>
      </c>
      <c r="D232" s="8">
        <f>pmt-C232</f>
        <v>1930.4883008789566</v>
      </c>
      <c r="E232" s="2">
        <f>IFERROR(IF(MOD(A232, interval)=0, extrapmt, 0), 0)</f>
        <v>500</v>
      </c>
      <c r="F232" s="1">
        <f t="shared" si="10"/>
        <v>0</v>
      </c>
      <c r="G232" s="1"/>
      <c r="H232" s="4">
        <f t="shared" si="11"/>
        <v>0</v>
      </c>
    </row>
    <row r="233" spans="1:8" x14ac:dyDescent="0.25">
      <c r="A233">
        <v>226</v>
      </c>
      <c r="B233" s="1">
        <f t="shared" si="12"/>
        <v>0</v>
      </c>
      <c r="C233" s="8">
        <f>B233*int/12</f>
        <v>0</v>
      </c>
      <c r="D233" s="8">
        <f>pmt-C233</f>
        <v>1930.4883008789566</v>
      </c>
      <c r="E233" s="2">
        <f>IFERROR(IF(MOD(A233, interval)=0, extrapmt, 0), 0)</f>
        <v>0</v>
      </c>
      <c r="F233" s="1">
        <f t="shared" si="10"/>
        <v>0</v>
      </c>
      <c r="G233" s="1"/>
      <c r="H233" s="4">
        <f t="shared" si="11"/>
        <v>0</v>
      </c>
    </row>
    <row r="234" spans="1:8" x14ac:dyDescent="0.25">
      <c r="A234">
        <v>227</v>
      </c>
      <c r="B234" s="1">
        <f t="shared" si="12"/>
        <v>0</v>
      </c>
      <c r="C234" s="8">
        <f>B234*int/12</f>
        <v>0</v>
      </c>
      <c r="D234" s="8">
        <f>pmt-C234</f>
        <v>1930.4883008789566</v>
      </c>
      <c r="E234" s="2">
        <f>IFERROR(IF(MOD(A234, interval)=0, extrapmt, 0), 0)</f>
        <v>0</v>
      </c>
      <c r="F234" s="1">
        <f t="shared" si="10"/>
        <v>0</v>
      </c>
      <c r="G234" s="1"/>
      <c r="H234" s="4">
        <f t="shared" si="11"/>
        <v>0</v>
      </c>
    </row>
    <row r="235" spans="1:8" x14ac:dyDescent="0.25">
      <c r="A235">
        <v>228</v>
      </c>
      <c r="B235" s="1">
        <f t="shared" si="12"/>
        <v>0</v>
      </c>
      <c r="C235" s="8">
        <f>B235*int/12</f>
        <v>0</v>
      </c>
      <c r="D235" s="8">
        <f>pmt-C235</f>
        <v>1930.4883008789566</v>
      </c>
      <c r="E235" s="2">
        <f>IFERROR(IF(MOD(A235, interval)=0, extrapmt, 0), 0)</f>
        <v>500</v>
      </c>
      <c r="F235" s="1">
        <f t="shared" si="10"/>
        <v>0</v>
      </c>
      <c r="G235" s="1"/>
      <c r="H235" s="4">
        <f t="shared" si="11"/>
        <v>0</v>
      </c>
    </row>
    <row r="236" spans="1:8" x14ac:dyDescent="0.25">
      <c r="A236">
        <v>229</v>
      </c>
      <c r="B236" s="1">
        <f t="shared" si="12"/>
        <v>0</v>
      </c>
      <c r="C236" s="8">
        <f>B236*int/12</f>
        <v>0</v>
      </c>
      <c r="D236" s="8">
        <f>pmt-C236</f>
        <v>1930.4883008789566</v>
      </c>
      <c r="E236" s="2">
        <f>IFERROR(IF(MOD(A236, interval)=0, extrapmt, 0), 0)</f>
        <v>0</v>
      </c>
      <c r="F236" s="1">
        <f t="shared" si="10"/>
        <v>0</v>
      </c>
      <c r="G236" s="1"/>
      <c r="H236" s="4">
        <f t="shared" si="11"/>
        <v>0</v>
      </c>
    </row>
    <row r="237" spans="1:8" x14ac:dyDescent="0.25">
      <c r="A237">
        <v>230</v>
      </c>
      <c r="B237" s="1">
        <f t="shared" si="12"/>
        <v>0</v>
      </c>
      <c r="C237" s="8">
        <f>B237*int/12</f>
        <v>0</v>
      </c>
      <c r="D237" s="8">
        <f>pmt-C237</f>
        <v>1930.4883008789566</v>
      </c>
      <c r="E237" s="2">
        <f>IFERROR(IF(MOD(A237, interval)=0, extrapmt, 0), 0)</f>
        <v>0</v>
      </c>
      <c r="F237" s="1">
        <f t="shared" si="10"/>
        <v>0</v>
      </c>
      <c r="G237" s="1"/>
      <c r="H237" s="4">
        <f t="shared" si="11"/>
        <v>0</v>
      </c>
    </row>
    <row r="238" spans="1:8" x14ac:dyDescent="0.25">
      <c r="A238">
        <v>231</v>
      </c>
      <c r="B238" s="1">
        <f t="shared" si="12"/>
        <v>0</v>
      </c>
      <c r="C238" s="8">
        <f>B238*int/12</f>
        <v>0</v>
      </c>
      <c r="D238" s="8">
        <f>pmt-C238</f>
        <v>1930.4883008789566</v>
      </c>
      <c r="E238" s="2">
        <f>IFERROR(IF(MOD(A238, interval)=0, extrapmt, 0), 0)</f>
        <v>500</v>
      </c>
      <c r="F238" s="1">
        <f t="shared" si="10"/>
        <v>0</v>
      </c>
      <c r="G238" s="1"/>
      <c r="H238" s="4">
        <f t="shared" si="11"/>
        <v>0</v>
      </c>
    </row>
    <row r="239" spans="1:8" x14ac:dyDescent="0.25">
      <c r="A239">
        <v>232</v>
      </c>
      <c r="B239" s="1">
        <f t="shared" si="12"/>
        <v>0</v>
      </c>
      <c r="C239" s="8">
        <f>B239*int/12</f>
        <v>0</v>
      </c>
      <c r="D239" s="8">
        <f>pmt-C239</f>
        <v>1930.4883008789566</v>
      </c>
      <c r="E239" s="2">
        <f>IFERROR(IF(MOD(A239, interval)=0, extrapmt, 0), 0)</f>
        <v>0</v>
      </c>
      <c r="F239" s="1">
        <f t="shared" si="10"/>
        <v>0</v>
      </c>
      <c r="G239" s="1"/>
      <c r="H239" s="4">
        <f t="shared" si="11"/>
        <v>0</v>
      </c>
    </row>
    <row r="240" spans="1:8" x14ac:dyDescent="0.25">
      <c r="A240">
        <v>233</v>
      </c>
      <c r="B240" s="1">
        <f t="shared" si="12"/>
        <v>0</v>
      </c>
      <c r="C240" s="8">
        <f>B240*int/12</f>
        <v>0</v>
      </c>
      <c r="D240" s="8">
        <f>pmt-C240</f>
        <v>1930.4883008789566</v>
      </c>
      <c r="E240" s="2">
        <f>IFERROR(IF(MOD(A240, interval)=0, extrapmt, 0), 0)</f>
        <v>0</v>
      </c>
      <c r="F240" s="1">
        <f t="shared" si="10"/>
        <v>0</v>
      </c>
      <c r="G240" s="1"/>
      <c r="H240" s="4">
        <f t="shared" si="11"/>
        <v>0</v>
      </c>
    </row>
    <row r="241" spans="1:8" x14ac:dyDescent="0.25">
      <c r="A241">
        <v>234</v>
      </c>
      <c r="B241" s="1">
        <f t="shared" si="12"/>
        <v>0</v>
      </c>
      <c r="C241" s="8">
        <f>B241*int/12</f>
        <v>0</v>
      </c>
      <c r="D241" s="8">
        <f>pmt-C241</f>
        <v>1930.4883008789566</v>
      </c>
      <c r="E241" s="2">
        <f>IFERROR(IF(MOD(A241, interval)=0, extrapmt, 0), 0)</f>
        <v>500</v>
      </c>
      <c r="F241" s="1">
        <f t="shared" si="10"/>
        <v>0</v>
      </c>
      <c r="G241" s="1"/>
      <c r="H241" s="4">
        <f t="shared" si="11"/>
        <v>0</v>
      </c>
    </row>
    <row r="242" spans="1:8" x14ac:dyDescent="0.25">
      <c r="A242">
        <v>235</v>
      </c>
      <c r="B242" s="1">
        <f t="shared" si="12"/>
        <v>0</v>
      </c>
      <c r="C242" s="8">
        <f>B242*int/12</f>
        <v>0</v>
      </c>
      <c r="D242" s="8">
        <f>pmt-C242</f>
        <v>1930.4883008789566</v>
      </c>
      <c r="E242" s="2">
        <f>IFERROR(IF(MOD(A242, interval)=0, extrapmt, 0), 0)</f>
        <v>0</v>
      </c>
      <c r="F242" s="1">
        <f t="shared" si="10"/>
        <v>0</v>
      </c>
      <c r="G242" s="1"/>
      <c r="H242" s="4">
        <f t="shared" si="11"/>
        <v>0</v>
      </c>
    </row>
    <row r="243" spans="1:8" x14ac:dyDescent="0.25">
      <c r="A243">
        <v>236</v>
      </c>
      <c r="B243" s="1">
        <f t="shared" si="12"/>
        <v>0</v>
      </c>
      <c r="C243" s="8">
        <f>B243*int/12</f>
        <v>0</v>
      </c>
      <c r="D243" s="8">
        <f>pmt-C243</f>
        <v>1930.4883008789566</v>
      </c>
      <c r="E243" s="2">
        <f>IFERROR(IF(MOD(A243, interval)=0, extrapmt, 0), 0)</f>
        <v>0</v>
      </c>
      <c r="F243" s="1">
        <f t="shared" si="10"/>
        <v>0</v>
      </c>
      <c r="G243" s="1"/>
      <c r="H243" s="4">
        <f t="shared" si="11"/>
        <v>0</v>
      </c>
    </row>
    <row r="244" spans="1:8" x14ac:dyDescent="0.25">
      <c r="A244">
        <v>237</v>
      </c>
      <c r="B244" s="1">
        <f t="shared" si="12"/>
        <v>0</v>
      </c>
      <c r="C244" s="8">
        <f>B244*int/12</f>
        <v>0</v>
      </c>
      <c r="D244" s="8">
        <f>pmt-C244</f>
        <v>1930.4883008789566</v>
      </c>
      <c r="E244" s="2">
        <f>IFERROR(IF(MOD(A244, interval)=0, extrapmt, 0), 0)</f>
        <v>500</v>
      </c>
      <c r="F244" s="1">
        <f t="shared" si="10"/>
        <v>0</v>
      </c>
      <c r="G244" s="1"/>
      <c r="H244" s="4">
        <f t="shared" si="11"/>
        <v>0</v>
      </c>
    </row>
    <row r="245" spans="1:8" x14ac:dyDescent="0.25">
      <c r="A245">
        <v>238</v>
      </c>
      <c r="B245" s="1">
        <f t="shared" si="12"/>
        <v>0</v>
      </c>
      <c r="C245" s="8">
        <f>B245*int/12</f>
        <v>0</v>
      </c>
      <c r="D245" s="8">
        <f>pmt-C245</f>
        <v>1930.4883008789566</v>
      </c>
      <c r="E245" s="2">
        <f>IFERROR(IF(MOD(A245, interval)=0, extrapmt, 0), 0)</f>
        <v>0</v>
      </c>
      <c r="F245" s="1">
        <f t="shared" si="10"/>
        <v>0</v>
      </c>
      <c r="G245" s="1"/>
      <c r="H245" s="4">
        <f t="shared" si="11"/>
        <v>0</v>
      </c>
    </row>
    <row r="246" spans="1:8" x14ac:dyDescent="0.25">
      <c r="A246">
        <v>239</v>
      </c>
      <c r="B246" s="1">
        <f t="shared" si="12"/>
        <v>0</v>
      </c>
      <c r="C246" s="8">
        <f>B246*int/12</f>
        <v>0</v>
      </c>
      <c r="D246" s="8">
        <f>pmt-C246</f>
        <v>1930.4883008789566</v>
      </c>
      <c r="E246" s="2">
        <f>IFERROR(IF(MOD(A246, interval)=0, extrapmt, 0), 0)</f>
        <v>0</v>
      </c>
      <c r="F246" s="1">
        <f t="shared" si="10"/>
        <v>0</v>
      </c>
      <c r="G246" s="1"/>
      <c r="H246" s="4">
        <f t="shared" si="11"/>
        <v>0</v>
      </c>
    </row>
    <row r="247" spans="1:8" x14ac:dyDescent="0.25">
      <c r="A247">
        <v>240</v>
      </c>
      <c r="B247" s="1">
        <f t="shared" si="12"/>
        <v>0</v>
      </c>
      <c r="C247" s="8">
        <f>B247*int/12</f>
        <v>0</v>
      </c>
      <c r="D247" s="8">
        <f>pmt-C247</f>
        <v>1930.4883008789566</v>
      </c>
      <c r="E247" s="2">
        <f>IFERROR(IF(MOD(A247, interval)=0, extrapmt, 0), 0)</f>
        <v>500</v>
      </c>
      <c r="F247" s="1">
        <f t="shared" si="10"/>
        <v>0</v>
      </c>
      <c r="G247" s="1"/>
      <c r="H247" s="4">
        <f t="shared" si="11"/>
        <v>0</v>
      </c>
    </row>
    <row r="248" spans="1:8" x14ac:dyDescent="0.25">
      <c r="A248">
        <v>241</v>
      </c>
      <c r="B248" s="1">
        <f t="shared" si="12"/>
        <v>0</v>
      </c>
      <c r="C248" s="8">
        <f>B248*int/12</f>
        <v>0</v>
      </c>
      <c r="D248" s="8">
        <f>pmt-C248</f>
        <v>1930.4883008789566</v>
      </c>
      <c r="E248" s="2">
        <f>IFERROR(IF(MOD(A248, interval)=0, extrapmt, 0), 0)</f>
        <v>0</v>
      </c>
      <c r="F248" s="1">
        <f t="shared" si="10"/>
        <v>0</v>
      </c>
      <c r="G248" s="1"/>
      <c r="H248" s="4">
        <f t="shared" si="11"/>
        <v>0</v>
      </c>
    </row>
    <row r="249" spans="1:8" x14ac:dyDescent="0.25">
      <c r="A249">
        <v>242</v>
      </c>
      <c r="B249" s="1">
        <f t="shared" si="12"/>
        <v>0</v>
      </c>
      <c r="C249" s="8">
        <f>B249*int/12</f>
        <v>0</v>
      </c>
      <c r="D249" s="8">
        <f>pmt-C249</f>
        <v>1930.4883008789566</v>
      </c>
      <c r="E249" s="2">
        <f>IFERROR(IF(MOD(A249, interval)=0, extrapmt, 0), 0)</f>
        <v>0</v>
      </c>
      <c r="F249" s="1">
        <f t="shared" si="10"/>
        <v>0</v>
      </c>
      <c r="G249" s="1"/>
      <c r="H249" s="4">
        <f t="shared" si="11"/>
        <v>0</v>
      </c>
    </row>
    <row r="250" spans="1:8" x14ac:dyDescent="0.25">
      <c r="A250">
        <v>243</v>
      </c>
      <c r="B250" s="1">
        <f t="shared" si="12"/>
        <v>0</v>
      </c>
      <c r="C250" s="8">
        <f>B250*int/12</f>
        <v>0</v>
      </c>
      <c r="D250" s="8">
        <f>pmt-C250</f>
        <v>1930.4883008789566</v>
      </c>
      <c r="E250" s="2">
        <f>IFERROR(IF(MOD(A250, interval)=0, extrapmt, 0), 0)</f>
        <v>500</v>
      </c>
      <c r="F250" s="1">
        <f t="shared" si="10"/>
        <v>0</v>
      </c>
      <c r="G250" s="1"/>
      <c r="H250" s="4">
        <f t="shared" si="11"/>
        <v>0</v>
      </c>
    </row>
    <row r="251" spans="1:8" x14ac:dyDescent="0.25">
      <c r="A251">
        <v>244</v>
      </c>
      <c r="B251" s="1">
        <f t="shared" si="12"/>
        <v>0</v>
      </c>
      <c r="C251" s="8">
        <f>B251*int/12</f>
        <v>0</v>
      </c>
      <c r="D251" s="8">
        <f>pmt-C251</f>
        <v>1930.4883008789566</v>
      </c>
      <c r="E251" s="2">
        <f>IFERROR(IF(MOD(A251, interval)=0, extrapmt, 0), 0)</f>
        <v>0</v>
      </c>
      <c r="F251" s="1">
        <f t="shared" si="10"/>
        <v>0</v>
      </c>
      <c r="G251" s="1"/>
      <c r="H251" s="4">
        <f t="shared" si="11"/>
        <v>0</v>
      </c>
    </row>
    <row r="252" spans="1:8" x14ac:dyDescent="0.25">
      <c r="A252">
        <v>245</v>
      </c>
      <c r="B252" s="1">
        <f t="shared" si="12"/>
        <v>0</v>
      </c>
      <c r="C252" s="8">
        <f>B252*int/12</f>
        <v>0</v>
      </c>
      <c r="D252" s="8">
        <f>pmt-C252</f>
        <v>1930.4883008789566</v>
      </c>
      <c r="E252" s="2">
        <f>IFERROR(IF(MOD(A252, interval)=0, extrapmt, 0), 0)</f>
        <v>0</v>
      </c>
      <c r="F252" s="1">
        <f t="shared" si="10"/>
        <v>0</v>
      </c>
      <c r="G252" s="1"/>
      <c r="H252" s="4">
        <f t="shared" si="11"/>
        <v>0</v>
      </c>
    </row>
    <row r="253" spans="1:8" x14ac:dyDescent="0.25">
      <c r="A253">
        <v>246</v>
      </c>
      <c r="B253" s="1">
        <f t="shared" si="12"/>
        <v>0</v>
      </c>
      <c r="C253" s="8">
        <f>B253*int/12</f>
        <v>0</v>
      </c>
      <c r="D253" s="8">
        <f>pmt-C253</f>
        <v>1930.4883008789566</v>
      </c>
      <c r="E253" s="2">
        <f>IFERROR(IF(MOD(A253, interval)=0, extrapmt, 0), 0)</f>
        <v>500</v>
      </c>
      <c r="F253" s="1">
        <f t="shared" si="10"/>
        <v>0</v>
      </c>
      <c r="G253" s="1"/>
      <c r="H253" s="4">
        <f t="shared" si="11"/>
        <v>0</v>
      </c>
    </row>
    <row r="254" spans="1:8" x14ac:dyDescent="0.25">
      <c r="A254">
        <v>247</v>
      </c>
      <c r="B254" s="1">
        <f t="shared" si="12"/>
        <v>0</v>
      </c>
      <c r="C254" s="8">
        <f>B254*int/12</f>
        <v>0</v>
      </c>
      <c r="D254" s="8">
        <f>pmt-C254</f>
        <v>1930.4883008789566</v>
      </c>
      <c r="E254" s="2">
        <f>IFERROR(IF(MOD(A254, interval)=0, extrapmt, 0), 0)</f>
        <v>0</v>
      </c>
      <c r="F254" s="1">
        <f t="shared" si="10"/>
        <v>0</v>
      </c>
      <c r="G254" s="1"/>
      <c r="H254" s="4">
        <f t="shared" si="11"/>
        <v>0</v>
      </c>
    </row>
    <row r="255" spans="1:8" x14ac:dyDescent="0.25">
      <c r="A255">
        <v>248</v>
      </c>
      <c r="B255" s="1">
        <f t="shared" si="12"/>
        <v>0</v>
      </c>
      <c r="C255" s="8">
        <f>B255*int/12</f>
        <v>0</v>
      </c>
      <c r="D255" s="8">
        <f>pmt-C255</f>
        <v>1930.4883008789566</v>
      </c>
      <c r="E255" s="2">
        <f>IFERROR(IF(MOD(A255, interval)=0, extrapmt, 0), 0)</f>
        <v>0</v>
      </c>
      <c r="F255" s="1">
        <f t="shared" si="10"/>
        <v>0</v>
      </c>
      <c r="G255" s="1"/>
      <c r="H255" s="4">
        <f t="shared" si="11"/>
        <v>0</v>
      </c>
    </row>
    <row r="256" spans="1:8" x14ac:dyDescent="0.25">
      <c r="A256">
        <v>249</v>
      </c>
      <c r="B256" s="1">
        <f t="shared" si="12"/>
        <v>0</v>
      </c>
      <c r="C256" s="8">
        <f>B256*int/12</f>
        <v>0</v>
      </c>
      <c r="D256" s="8">
        <f>pmt-C256</f>
        <v>1930.4883008789566</v>
      </c>
      <c r="E256" s="2">
        <f>IFERROR(IF(MOD(A256, interval)=0, extrapmt, 0), 0)</f>
        <v>500</v>
      </c>
      <c r="F256" s="1">
        <f t="shared" si="10"/>
        <v>0</v>
      </c>
      <c r="G256" s="1"/>
      <c r="H256" s="4">
        <f t="shared" si="11"/>
        <v>0</v>
      </c>
    </row>
    <row r="257" spans="1:8" x14ac:dyDescent="0.25">
      <c r="A257">
        <v>250</v>
      </c>
      <c r="B257" s="1">
        <f t="shared" si="12"/>
        <v>0</v>
      </c>
      <c r="C257" s="8">
        <f>B257*int/12</f>
        <v>0</v>
      </c>
      <c r="D257" s="8">
        <f>pmt-C257</f>
        <v>1930.4883008789566</v>
      </c>
      <c r="E257" s="2">
        <f>IFERROR(IF(MOD(A257, interval)=0, extrapmt, 0), 0)</f>
        <v>0</v>
      </c>
      <c r="F257" s="1">
        <f t="shared" si="10"/>
        <v>0</v>
      </c>
      <c r="G257" s="1"/>
      <c r="H257" s="4">
        <f t="shared" si="11"/>
        <v>0</v>
      </c>
    </row>
    <row r="258" spans="1:8" x14ac:dyDescent="0.25">
      <c r="A258">
        <v>251</v>
      </c>
      <c r="B258" s="1">
        <f t="shared" si="12"/>
        <v>0</v>
      </c>
      <c r="C258" s="8">
        <f>B258*int/12</f>
        <v>0</v>
      </c>
      <c r="D258" s="8">
        <f>pmt-C258</f>
        <v>1930.4883008789566</v>
      </c>
      <c r="E258" s="2">
        <f>IFERROR(IF(MOD(A258, interval)=0, extrapmt, 0), 0)</f>
        <v>0</v>
      </c>
      <c r="F258" s="1">
        <f t="shared" si="10"/>
        <v>0</v>
      </c>
      <c r="G258" s="1"/>
      <c r="H258" s="4">
        <f t="shared" si="11"/>
        <v>0</v>
      </c>
    </row>
    <row r="259" spans="1:8" x14ac:dyDescent="0.25">
      <c r="A259">
        <v>252</v>
      </c>
      <c r="B259" s="1">
        <f t="shared" si="12"/>
        <v>0</v>
      </c>
      <c r="C259" s="8">
        <f>B259*int/12</f>
        <v>0</v>
      </c>
      <c r="D259" s="8">
        <f>pmt-C259</f>
        <v>1930.4883008789566</v>
      </c>
      <c r="E259" s="2">
        <f>IFERROR(IF(MOD(A259, interval)=0, extrapmt, 0), 0)</f>
        <v>500</v>
      </c>
      <c r="F259" s="1">
        <f t="shared" si="10"/>
        <v>0</v>
      </c>
      <c r="G259" s="1"/>
      <c r="H259" s="4">
        <f t="shared" si="11"/>
        <v>0</v>
      </c>
    </row>
    <row r="260" spans="1:8" x14ac:dyDescent="0.25">
      <c r="A260">
        <v>253</v>
      </c>
      <c r="B260" s="1">
        <f t="shared" si="12"/>
        <v>0</v>
      </c>
      <c r="C260" s="8">
        <f>B260*int/12</f>
        <v>0</v>
      </c>
      <c r="D260" s="8">
        <f>pmt-C260</f>
        <v>1930.4883008789566</v>
      </c>
      <c r="E260" s="2">
        <f>IFERROR(IF(MOD(A260, interval)=0, extrapmt, 0), 0)</f>
        <v>0</v>
      </c>
      <c r="F260" s="1">
        <f t="shared" si="10"/>
        <v>0</v>
      </c>
      <c r="G260" s="1"/>
      <c r="H260" s="4">
        <f t="shared" si="11"/>
        <v>0</v>
      </c>
    </row>
    <row r="261" spans="1:8" x14ac:dyDescent="0.25">
      <c r="A261">
        <v>254</v>
      </c>
      <c r="B261" s="1">
        <f t="shared" si="12"/>
        <v>0</v>
      </c>
      <c r="C261" s="8">
        <f>B261*int/12</f>
        <v>0</v>
      </c>
      <c r="D261" s="8">
        <f>pmt-C261</f>
        <v>1930.4883008789566</v>
      </c>
      <c r="E261" s="2">
        <f>IFERROR(IF(MOD(A261, interval)=0, extrapmt, 0), 0)</f>
        <v>0</v>
      </c>
      <c r="F261" s="1">
        <f t="shared" si="10"/>
        <v>0</v>
      </c>
      <c r="G261" s="1"/>
      <c r="H261" s="4">
        <f t="shared" si="11"/>
        <v>0</v>
      </c>
    </row>
    <row r="262" spans="1:8" x14ac:dyDescent="0.25">
      <c r="A262">
        <v>255</v>
      </c>
      <c r="B262" s="1">
        <f t="shared" si="12"/>
        <v>0</v>
      </c>
      <c r="C262" s="8">
        <f>B262*int/12</f>
        <v>0</v>
      </c>
      <c r="D262" s="8">
        <f>pmt-C262</f>
        <v>1930.4883008789566</v>
      </c>
      <c r="E262" s="2">
        <f>IFERROR(IF(MOD(A262, interval)=0, extrapmt, 0), 0)</f>
        <v>500</v>
      </c>
      <c r="F262" s="1">
        <f t="shared" si="10"/>
        <v>0</v>
      </c>
      <c r="G262" s="1"/>
      <c r="H262" s="4">
        <f t="shared" si="11"/>
        <v>0</v>
      </c>
    </row>
    <row r="263" spans="1:8" x14ac:dyDescent="0.25">
      <c r="A263">
        <v>256</v>
      </c>
      <c r="B263" s="1">
        <f t="shared" si="12"/>
        <v>0</v>
      </c>
      <c r="C263" s="8">
        <f>B263*int/12</f>
        <v>0</v>
      </c>
      <c r="D263" s="8">
        <f>pmt-C263</f>
        <v>1930.4883008789566</v>
      </c>
      <c r="E263" s="2">
        <f>IFERROR(IF(MOD(A263, interval)=0, extrapmt, 0), 0)</f>
        <v>0</v>
      </c>
      <c r="F263" s="1">
        <f t="shared" si="10"/>
        <v>0</v>
      </c>
      <c r="G263" s="1"/>
      <c r="H263" s="4">
        <f t="shared" si="11"/>
        <v>0</v>
      </c>
    </row>
    <row r="264" spans="1:8" x14ac:dyDescent="0.25">
      <c r="A264">
        <v>257</v>
      </c>
      <c r="B264" s="1">
        <f t="shared" si="12"/>
        <v>0</v>
      </c>
      <c r="C264" s="8">
        <f>B264*int/12</f>
        <v>0</v>
      </c>
      <c r="D264" s="8">
        <f>pmt-C264</f>
        <v>1930.4883008789566</v>
      </c>
      <c r="E264" s="2">
        <f>IFERROR(IF(MOD(A264, interval)=0, extrapmt, 0), 0)</f>
        <v>0</v>
      </c>
      <c r="F264" s="1">
        <f t="shared" si="10"/>
        <v>0</v>
      </c>
      <c r="G264" s="1"/>
      <c r="H264" s="4">
        <f t="shared" si="11"/>
        <v>0</v>
      </c>
    </row>
    <row r="265" spans="1:8" x14ac:dyDescent="0.25">
      <c r="A265">
        <v>258</v>
      </c>
      <c r="B265" s="1">
        <f t="shared" si="12"/>
        <v>0</v>
      </c>
      <c r="C265" s="8">
        <f>B265*int/12</f>
        <v>0</v>
      </c>
      <c r="D265" s="8">
        <f>pmt-C265</f>
        <v>1930.4883008789566</v>
      </c>
      <c r="E265" s="2">
        <f>IFERROR(IF(MOD(A265, interval)=0, extrapmt, 0), 0)</f>
        <v>500</v>
      </c>
      <c r="F265" s="1">
        <f t="shared" ref="F265:F328" si="13">IF(B265-D265-E265&lt;0, 0, B265-D265-E265)</f>
        <v>0</v>
      </c>
      <c r="G265" s="1"/>
      <c r="H265" s="4">
        <f t="shared" ref="H265:H328" si="14">(F265&gt;0)*(F266=0)</f>
        <v>0</v>
      </c>
    </row>
    <row r="266" spans="1:8" x14ac:dyDescent="0.25">
      <c r="A266">
        <v>259</v>
      </c>
      <c r="B266" s="1">
        <f t="shared" si="12"/>
        <v>0</v>
      </c>
      <c r="C266" s="8">
        <f>B266*int/12</f>
        <v>0</v>
      </c>
      <c r="D266" s="8">
        <f>pmt-C266</f>
        <v>1930.4883008789566</v>
      </c>
      <c r="E266" s="2">
        <f>IFERROR(IF(MOD(A266, interval)=0, extrapmt, 0), 0)</f>
        <v>0</v>
      </c>
      <c r="F266" s="1">
        <f t="shared" si="13"/>
        <v>0</v>
      </c>
      <c r="G266" s="1"/>
      <c r="H266" s="4">
        <f t="shared" si="14"/>
        <v>0</v>
      </c>
    </row>
    <row r="267" spans="1:8" x14ac:dyDescent="0.25">
      <c r="A267">
        <v>260</v>
      </c>
      <c r="B267" s="1">
        <f t="shared" si="12"/>
        <v>0</v>
      </c>
      <c r="C267" s="8">
        <f>B267*int/12</f>
        <v>0</v>
      </c>
      <c r="D267" s="8">
        <f>pmt-C267</f>
        <v>1930.4883008789566</v>
      </c>
      <c r="E267" s="2">
        <f>IFERROR(IF(MOD(A267, interval)=0, extrapmt, 0), 0)</f>
        <v>0</v>
      </c>
      <c r="F267" s="1">
        <f t="shared" si="13"/>
        <v>0</v>
      </c>
      <c r="G267" s="1"/>
      <c r="H267" s="4">
        <f t="shared" si="14"/>
        <v>0</v>
      </c>
    </row>
    <row r="268" spans="1:8" x14ac:dyDescent="0.25">
      <c r="A268">
        <v>261</v>
      </c>
      <c r="B268" s="1">
        <f t="shared" ref="B268:B331" si="15">F267</f>
        <v>0</v>
      </c>
      <c r="C268" s="8">
        <f>B268*int/12</f>
        <v>0</v>
      </c>
      <c r="D268" s="8">
        <f>pmt-C268</f>
        <v>1930.4883008789566</v>
      </c>
      <c r="E268" s="2">
        <f>IFERROR(IF(MOD(A268, interval)=0, extrapmt, 0), 0)</f>
        <v>500</v>
      </c>
      <c r="F268" s="1">
        <f t="shared" si="13"/>
        <v>0</v>
      </c>
      <c r="G268" s="1"/>
      <c r="H268" s="4">
        <f t="shared" si="14"/>
        <v>0</v>
      </c>
    </row>
    <row r="269" spans="1:8" x14ac:dyDescent="0.25">
      <c r="A269">
        <v>262</v>
      </c>
      <c r="B269" s="1">
        <f t="shared" si="15"/>
        <v>0</v>
      </c>
      <c r="C269" s="8">
        <f>B269*int/12</f>
        <v>0</v>
      </c>
      <c r="D269" s="8">
        <f>pmt-C269</f>
        <v>1930.4883008789566</v>
      </c>
      <c r="E269" s="2">
        <f>IFERROR(IF(MOD(A269, interval)=0, extrapmt, 0), 0)</f>
        <v>0</v>
      </c>
      <c r="F269" s="1">
        <f t="shared" si="13"/>
        <v>0</v>
      </c>
      <c r="G269" s="1"/>
      <c r="H269" s="4">
        <f t="shared" si="14"/>
        <v>0</v>
      </c>
    </row>
    <row r="270" spans="1:8" x14ac:dyDescent="0.25">
      <c r="A270">
        <v>263</v>
      </c>
      <c r="B270" s="1">
        <f t="shared" si="15"/>
        <v>0</v>
      </c>
      <c r="C270" s="8">
        <f>B270*int/12</f>
        <v>0</v>
      </c>
      <c r="D270" s="8">
        <f>pmt-C270</f>
        <v>1930.4883008789566</v>
      </c>
      <c r="E270" s="2">
        <f>IFERROR(IF(MOD(A270, interval)=0, extrapmt, 0), 0)</f>
        <v>0</v>
      </c>
      <c r="F270" s="1">
        <f t="shared" si="13"/>
        <v>0</v>
      </c>
      <c r="G270" s="1"/>
      <c r="H270" s="4">
        <f t="shared" si="14"/>
        <v>0</v>
      </c>
    </row>
    <row r="271" spans="1:8" x14ac:dyDescent="0.25">
      <c r="A271">
        <v>264</v>
      </c>
      <c r="B271" s="1">
        <f t="shared" si="15"/>
        <v>0</v>
      </c>
      <c r="C271" s="8">
        <f>B271*int/12</f>
        <v>0</v>
      </c>
      <c r="D271" s="8">
        <f>pmt-C271</f>
        <v>1930.4883008789566</v>
      </c>
      <c r="E271" s="2">
        <f>IFERROR(IF(MOD(A271, interval)=0, extrapmt, 0), 0)</f>
        <v>500</v>
      </c>
      <c r="F271" s="1">
        <f t="shared" si="13"/>
        <v>0</v>
      </c>
      <c r="G271" s="1"/>
      <c r="H271" s="4">
        <f t="shared" si="14"/>
        <v>0</v>
      </c>
    </row>
    <row r="272" spans="1:8" x14ac:dyDescent="0.25">
      <c r="A272">
        <v>265</v>
      </c>
      <c r="B272" s="1">
        <f t="shared" si="15"/>
        <v>0</v>
      </c>
      <c r="C272" s="8">
        <f>B272*int/12</f>
        <v>0</v>
      </c>
      <c r="D272" s="8">
        <f>pmt-C272</f>
        <v>1930.4883008789566</v>
      </c>
      <c r="E272" s="2">
        <f>IFERROR(IF(MOD(A272, interval)=0, extrapmt, 0), 0)</f>
        <v>0</v>
      </c>
      <c r="F272" s="1">
        <f t="shared" si="13"/>
        <v>0</v>
      </c>
      <c r="G272" s="1"/>
      <c r="H272" s="4">
        <f t="shared" si="14"/>
        <v>0</v>
      </c>
    </row>
    <row r="273" spans="1:8" x14ac:dyDescent="0.25">
      <c r="A273">
        <v>266</v>
      </c>
      <c r="B273" s="1">
        <f t="shared" si="15"/>
        <v>0</v>
      </c>
      <c r="C273" s="8">
        <f>B273*int/12</f>
        <v>0</v>
      </c>
      <c r="D273" s="8">
        <f>pmt-C273</f>
        <v>1930.4883008789566</v>
      </c>
      <c r="E273" s="2">
        <f>IFERROR(IF(MOD(A273, interval)=0, extrapmt, 0), 0)</f>
        <v>0</v>
      </c>
      <c r="F273" s="1">
        <f t="shared" si="13"/>
        <v>0</v>
      </c>
      <c r="G273" s="1"/>
      <c r="H273" s="4">
        <f t="shared" si="14"/>
        <v>0</v>
      </c>
    </row>
    <row r="274" spans="1:8" x14ac:dyDescent="0.25">
      <c r="A274">
        <v>267</v>
      </c>
      <c r="B274" s="1">
        <f t="shared" si="15"/>
        <v>0</v>
      </c>
      <c r="C274" s="8">
        <f>B274*int/12</f>
        <v>0</v>
      </c>
      <c r="D274" s="8">
        <f>pmt-C274</f>
        <v>1930.4883008789566</v>
      </c>
      <c r="E274" s="2">
        <f>IFERROR(IF(MOD(A274, interval)=0, extrapmt, 0), 0)</f>
        <v>500</v>
      </c>
      <c r="F274" s="1">
        <f t="shared" si="13"/>
        <v>0</v>
      </c>
      <c r="G274" s="1"/>
      <c r="H274" s="4">
        <f t="shared" si="14"/>
        <v>0</v>
      </c>
    </row>
    <row r="275" spans="1:8" x14ac:dyDescent="0.25">
      <c r="A275">
        <v>268</v>
      </c>
      <c r="B275" s="1">
        <f t="shared" si="15"/>
        <v>0</v>
      </c>
      <c r="C275" s="8">
        <f>B275*int/12</f>
        <v>0</v>
      </c>
      <c r="D275" s="8">
        <f>pmt-C275</f>
        <v>1930.4883008789566</v>
      </c>
      <c r="E275" s="2">
        <f>IFERROR(IF(MOD(A275, interval)=0, extrapmt, 0), 0)</f>
        <v>0</v>
      </c>
      <c r="F275" s="1">
        <f t="shared" si="13"/>
        <v>0</v>
      </c>
      <c r="G275" s="1"/>
      <c r="H275" s="4">
        <f t="shared" si="14"/>
        <v>0</v>
      </c>
    </row>
    <row r="276" spans="1:8" x14ac:dyDescent="0.25">
      <c r="A276">
        <v>269</v>
      </c>
      <c r="B276" s="1">
        <f t="shared" si="15"/>
        <v>0</v>
      </c>
      <c r="C276" s="8">
        <f>B276*int/12</f>
        <v>0</v>
      </c>
      <c r="D276" s="8">
        <f>pmt-C276</f>
        <v>1930.4883008789566</v>
      </c>
      <c r="E276" s="2">
        <f>IFERROR(IF(MOD(A276, interval)=0, extrapmt, 0), 0)</f>
        <v>0</v>
      </c>
      <c r="F276" s="1">
        <f t="shared" si="13"/>
        <v>0</v>
      </c>
      <c r="G276" s="1"/>
      <c r="H276" s="4">
        <f t="shared" si="14"/>
        <v>0</v>
      </c>
    </row>
    <row r="277" spans="1:8" x14ac:dyDescent="0.25">
      <c r="A277">
        <v>270</v>
      </c>
      <c r="B277" s="1">
        <f t="shared" si="15"/>
        <v>0</v>
      </c>
      <c r="C277" s="8">
        <f>B277*int/12</f>
        <v>0</v>
      </c>
      <c r="D277" s="8">
        <f>pmt-C277</f>
        <v>1930.4883008789566</v>
      </c>
      <c r="E277" s="2">
        <f>IFERROR(IF(MOD(A277, interval)=0, extrapmt, 0), 0)</f>
        <v>500</v>
      </c>
      <c r="F277" s="1">
        <f t="shared" si="13"/>
        <v>0</v>
      </c>
      <c r="G277" s="1"/>
      <c r="H277" s="4">
        <f t="shared" si="14"/>
        <v>0</v>
      </c>
    </row>
    <row r="278" spans="1:8" x14ac:dyDescent="0.25">
      <c r="A278">
        <v>271</v>
      </c>
      <c r="B278" s="1">
        <f t="shared" si="15"/>
        <v>0</v>
      </c>
      <c r="C278" s="8">
        <f>B278*int/12</f>
        <v>0</v>
      </c>
      <c r="D278" s="8">
        <f>pmt-C278</f>
        <v>1930.4883008789566</v>
      </c>
      <c r="E278" s="2">
        <f>IFERROR(IF(MOD(A278, interval)=0, extrapmt, 0), 0)</f>
        <v>0</v>
      </c>
      <c r="F278" s="1">
        <f t="shared" si="13"/>
        <v>0</v>
      </c>
      <c r="G278" s="1"/>
      <c r="H278" s="4">
        <f t="shared" si="14"/>
        <v>0</v>
      </c>
    </row>
    <row r="279" spans="1:8" x14ac:dyDescent="0.25">
      <c r="A279">
        <v>272</v>
      </c>
      <c r="B279" s="1">
        <f t="shared" si="15"/>
        <v>0</v>
      </c>
      <c r="C279" s="8">
        <f>B279*int/12</f>
        <v>0</v>
      </c>
      <c r="D279" s="8">
        <f>pmt-C279</f>
        <v>1930.4883008789566</v>
      </c>
      <c r="E279" s="2">
        <f>IFERROR(IF(MOD(A279, interval)=0, extrapmt, 0), 0)</f>
        <v>0</v>
      </c>
      <c r="F279" s="1">
        <f t="shared" si="13"/>
        <v>0</v>
      </c>
      <c r="G279" s="1"/>
      <c r="H279" s="4">
        <f t="shared" si="14"/>
        <v>0</v>
      </c>
    </row>
    <row r="280" spans="1:8" x14ac:dyDescent="0.25">
      <c r="A280">
        <v>273</v>
      </c>
      <c r="B280" s="1">
        <f t="shared" si="15"/>
        <v>0</v>
      </c>
      <c r="C280" s="8">
        <f>B280*int/12</f>
        <v>0</v>
      </c>
      <c r="D280" s="8">
        <f>pmt-C280</f>
        <v>1930.4883008789566</v>
      </c>
      <c r="E280" s="2">
        <f>IFERROR(IF(MOD(A280, interval)=0, extrapmt, 0), 0)</f>
        <v>500</v>
      </c>
      <c r="F280" s="1">
        <f t="shared" si="13"/>
        <v>0</v>
      </c>
      <c r="G280" s="1"/>
      <c r="H280" s="4">
        <f t="shared" si="14"/>
        <v>0</v>
      </c>
    </row>
    <row r="281" spans="1:8" x14ac:dyDescent="0.25">
      <c r="A281">
        <v>274</v>
      </c>
      <c r="B281" s="1">
        <f t="shared" si="15"/>
        <v>0</v>
      </c>
      <c r="C281" s="8">
        <f>B281*int/12</f>
        <v>0</v>
      </c>
      <c r="D281" s="8">
        <f>pmt-C281</f>
        <v>1930.4883008789566</v>
      </c>
      <c r="E281" s="2">
        <f>IFERROR(IF(MOD(A281, interval)=0, extrapmt, 0), 0)</f>
        <v>0</v>
      </c>
      <c r="F281" s="1">
        <f t="shared" si="13"/>
        <v>0</v>
      </c>
      <c r="G281" s="1"/>
      <c r="H281" s="4">
        <f t="shared" si="14"/>
        <v>0</v>
      </c>
    </row>
    <row r="282" spans="1:8" x14ac:dyDescent="0.25">
      <c r="A282">
        <v>275</v>
      </c>
      <c r="B282" s="1">
        <f t="shared" si="15"/>
        <v>0</v>
      </c>
      <c r="C282" s="8">
        <f>B282*int/12</f>
        <v>0</v>
      </c>
      <c r="D282" s="8">
        <f>pmt-C282</f>
        <v>1930.4883008789566</v>
      </c>
      <c r="E282" s="2">
        <f>IFERROR(IF(MOD(A282, interval)=0, extrapmt, 0), 0)</f>
        <v>0</v>
      </c>
      <c r="F282" s="1">
        <f t="shared" si="13"/>
        <v>0</v>
      </c>
      <c r="G282" s="1"/>
      <c r="H282" s="4">
        <f t="shared" si="14"/>
        <v>0</v>
      </c>
    </row>
    <row r="283" spans="1:8" x14ac:dyDescent="0.25">
      <c r="A283">
        <v>276</v>
      </c>
      <c r="B283" s="1">
        <f t="shared" si="15"/>
        <v>0</v>
      </c>
      <c r="C283" s="8">
        <f>B283*int/12</f>
        <v>0</v>
      </c>
      <c r="D283" s="8">
        <f>pmt-C283</f>
        <v>1930.4883008789566</v>
      </c>
      <c r="E283" s="2">
        <f>IFERROR(IF(MOD(A283, interval)=0, extrapmt, 0), 0)</f>
        <v>500</v>
      </c>
      <c r="F283" s="1">
        <f t="shared" si="13"/>
        <v>0</v>
      </c>
      <c r="G283" s="1"/>
      <c r="H283" s="4">
        <f t="shared" si="14"/>
        <v>0</v>
      </c>
    </row>
    <row r="284" spans="1:8" x14ac:dyDescent="0.25">
      <c r="A284">
        <v>277</v>
      </c>
      <c r="B284" s="1">
        <f t="shared" si="15"/>
        <v>0</v>
      </c>
      <c r="C284" s="8">
        <f>B284*int/12</f>
        <v>0</v>
      </c>
      <c r="D284" s="8">
        <f>pmt-C284</f>
        <v>1930.4883008789566</v>
      </c>
      <c r="E284" s="2">
        <f>IFERROR(IF(MOD(A284, interval)=0, extrapmt, 0), 0)</f>
        <v>0</v>
      </c>
      <c r="F284" s="1">
        <f t="shared" si="13"/>
        <v>0</v>
      </c>
      <c r="G284" s="1"/>
      <c r="H284" s="4">
        <f t="shared" si="14"/>
        <v>0</v>
      </c>
    </row>
    <row r="285" spans="1:8" x14ac:dyDescent="0.25">
      <c r="A285">
        <v>278</v>
      </c>
      <c r="B285" s="1">
        <f t="shared" si="15"/>
        <v>0</v>
      </c>
      <c r="C285" s="8">
        <f>B285*int/12</f>
        <v>0</v>
      </c>
      <c r="D285" s="8">
        <f>pmt-C285</f>
        <v>1930.4883008789566</v>
      </c>
      <c r="E285" s="2">
        <f>IFERROR(IF(MOD(A285, interval)=0, extrapmt, 0), 0)</f>
        <v>0</v>
      </c>
      <c r="F285" s="1">
        <f t="shared" si="13"/>
        <v>0</v>
      </c>
      <c r="G285" s="1"/>
      <c r="H285" s="4">
        <f t="shared" si="14"/>
        <v>0</v>
      </c>
    </row>
    <row r="286" spans="1:8" x14ac:dyDescent="0.25">
      <c r="A286">
        <v>279</v>
      </c>
      <c r="B286" s="1">
        <f t="shared" si="15"/>
        <v>0</v>
      </c>
      <c r="C286" s="8">
        <f>B286*int/12</f>
        <v>0</v>
      </c>
      <c r="D286" s="8">
        <f>pmt-C286</f>
        <v>1930.4883008789566</v>
      </c>
      <c r="E286" s="2">
        <f>IFERROR(IF(MOD(A286, interval)=0, extrapmt, 0), 0)</f>
        <v>500</v>
      </c>
      <c r="F286" s="1">
        <f t="shared" si="13"/>
        <v>0</v>
      </c>
      <c r="G286" s="1"/>
      <c r="H286" s="4">
        <f t="shared" si="14"/>
        <v>0</v>
      </c>
    </row>
    <row r="287" spans="1:8" x14ac:dyDescent="0.25">
      <c r="A287">
        <v>280</v>
      </c>
      <c r="B287" s="1">
        <f t="shared" si="15"/>
        <v>0</v>
      </c>
      <c r="C287" s="8">
        <f>B287*int/12</f>
        <v>0</v>
      </c>
      <c r="D287" s="8">
        <f>pmt-C287</f>
        <v>1930.4883008789566</v>
      </c>
      <c r="E287" s="2">
        <f>IFERROR(IF(MOD(A287, interval)=0, extrapmt, 0), 0)</f>
        <v>0</v>
      </c>
      <c r="F287" s="1">
        <f t="shared" si="13"/>
        <v>0</v>
      </c>
      <c r="G287" s="1"/>
      <c r="H287" s="4">
        <f t="shared" si="14"/>
        <v>0</v>
      </c>
    </row>
    <row r="288" spans="1:8" x14ac:dyDescent="0.25">
      <c r="A288">
        <v>281</v>
      </c>
      <c r="B288" s="1">
        <f t="shared" si="15"/>
        <v>0</v>
      </c>
      <c r="C288" s="8">
        <f>B288*int/12</f>
        <v>0</v>
      </c>
      <c r="D288" s="8">
        <f>pmt-C288</f>
        <v>1930.4883008789566</v>
      </c>
      <c r="E288" s="2">
        <f>IFERROR(IF(MOD(A288, interval)=0, extrapmt, 0), 0)</f>
        <v>0</v>
      </c>
      <c r="F288" s="1">
        <f t="shared" si="13"/>
        <v>0</v>
      </c>
      <c r="G288" s="1"/>
      <c r="H288" s="4">
        <f t="shared" si="14"/>
        <v>0</v>
      </c>
    </row>
    <row r="289" spans="1:8" x14ac:dyDescent="0.25">
      <c r="A289">
        <v>282</v>
      </c>
      <c r="B289" s="1">
        <f t="shared" si="15"/>
        <v>0</v>
      </c>
      <c r="C289" s="8">
        <f>B289*int/12</f>
        <v>0</v>
      </c>
      <c r="D289" s="8">
        <f>pmt-C289</f>
        <v>1930.4883008789566</v>
      </c>
      <c r="E289" s="2">
        <f>IFERROR(IF(MOD(A289, interval)=0, extrapmt, 0), 0)</f>
        <v>500</v>
      </c>
      <c r="F289" s="1">
        <f t="shared" si="13"/>
        <v>0</v>
      </c>
      <c r="G289" s="1"/>
      <c r="H289" s="4">
        <f t="shared" si="14"/>
        <v>0</v>
      </c>
    </row>
    <row r="290" spans="1:8" x14ac:dyDescent="0.25">
      <c r="A290">
        <v>283</v>
      </c>
      <c r="B290" s="1">
        <f t="shared" si="15"/>
        <v>0</v>
      </c>
      <c r="C290" s="8">
        <f>B290*int/12</f>
        <v>0</v>
      </c>
      <c r="D290" s="8">
        <f>pmt-C290</f>
        <v>1930.4883008789566</v>
      </c>
      <c r="E290" s="2">
        <f>IFERROR(IF(MOD(A290, interval)=0, extrapmt, 0), 0)</f>
        <v>0</v>
      </c>
      <c r="F290" s="1">
        <f t="shared" si="13"/>
        <v>0</v>
      </c>
      <c r="G290" s="1"/>
      <c r="H290" s="4">
        <f t="shared" si="14"/>
        <v>0</v>
      </c>
    </row>
    <row r="291" spans="1:8" x14ac:dyDescent="0.25">
      <c r="A291">
        <v>284</v>
      </c>
      <c r="B291" s="1">
        <f t="shared" si="15"/>
        <v>0</v>
      </c>
      <c r="C291" s="8">
        <f>B291*int/12</f>
        <v>0</v>
      </c>
      <c r="D291" s="8">
        <f>pmt-C291</f>
        <v>1930.4883008789566</v>
      </c>
      <c r="E291" s="2">
        <f>IFERROR(IF(MOD(A291, interval)=0, extrapmt, 0), 0)</f>
        <v>0</v>
      </c>
      <c r="F291" s="1">
        <f t="shared" si="13"/>
        <v>0</v>
      </c>
      <c r="G291" s="1"/>
      <c r="H291" s="4">
        <f t="shared" si="14"/>
        <v>0</v>
      </c>
    </row>
    <row r="292" spans="1:8" x14ac:dyDescent="0.25">
      <c r="A292">
        <v>285</v>
      </c>
      <c r="B292" s="1">
        <f t="shared" si="15"/>
        <v>0</v>
      </c>
      <c r="C292" s="8">
        <f>B292*int/12</f>
        <v>0</v>
      </c>
      <c r="D292" s="8">
        <f>pmt-C292</f>
        <v>1930.4883008789566</v>
      </c>
      <c r="E292" s="2">
        <f>IFERROR(IF(MOD(A292, interval)=0, extrapmt, 0), 0)</f>
        <v>500</v>
      </c>
      <c r="F292" s="1">
        <f t="shared" si="13"/>
        <v>0</v>
      </c>
      <c r="G292" s="1"/>
      <c r="H292" s="4">
        <f t="shared" si="14"/>
        <v>0</v>
      </c>
    </row>
    <row r="293" spans="1:8" x14ac:dyDescent="0.25">
      <c r="A293">
        <v>286</v>
      </c>
      <c r="B293" s="1">
        <f t="shared" si="15"/>
        <v>0</v>
      </c>
      <c r="C293" s="8">
        <f>B293*int/12</f>
        <v>0</v>
      </c>
      <c r="D293" s="8">
        <f>pmt-C293</f>
        <v>1930.4883008789566</v>
      </c>
      <c r="E293" s="2">
        <f>IFERROR(IF(MOD(A293, interval)=0, extrapmt, 0), 0)</f>
        <v>0</v>
      </c>
      <c r="F293" s="1">
        <f t="shared" si="13"/>
        <v>0</v>
      </c>
      <c r="G293" s="1"/>
      <c r="H293" s="4">
        <f t="shared" si="14"/>
        <v>0</v>
      </c>
    </row>
    <row r="294" spans="1:8" x14ac:dyDescent="0.25">
      <c r="A294">
        <v>287</v>
      </c>
      <c r="B294" s="1">
        <f t="shared" si="15"/>
        <v>0</v>
      </c>
      <c r="C294" s="8">
        <f>B294*int/12</f>
        <v>0</v>
      </c>
      <c r="D294" s="8">
        <f>pmt-C294</f>
        <v>1930.4883008789566</v>
      </c>
      <c r="E294" s="2">
        <f>IFERROR(IF(MOD(A294, interval)=0, extrapmt, 0), 0)</f>
        <v>0</v>
      </c>
      <c r="F294" s="1">
        <f t="shared" si="13"/>
        <v>0</v>
      </c>
      <c r="G294" s="1"/>
      <c r="H294" s="4">
        <f t="shared" si="14"/>
        <v>0</v>
      </c>
    </row>
    <row r="295" spans="1:8" x14ac:dyDescent="0.25">
      <c r="A295">
        <v>288</v>
      </c>
      <c r="B295" s="1">
        <f t="shared" si="15"/>
        <v>0</v>
      </c>
      <c r="C295" s="8">
        <f>B295*int/12</f>
        <v>0</v>
      </c>
      <c r="D295" s="8">
        <f>pmt-C295</f>
        <v>1930.4883008789566</v>
      </c>
      <c r="E295" s="2">
        <f>IFERROR(IF(MOD(A295, interval)=0, extrapmt, 0), 0)</f>
        <v>500</v>
      </c>
      <c r="F295" s="1">
        <f t="shared" si="13"/>
        <v>0</v>
      </c>
      <c r="G295" s="1"/>
      <c r="H295" s="4">
        <f t="shared" si="14"/>
        <v>0</v>
      </c>
    </row>
    <row r="296" spans="1:8" x14ac:dyDescent="0.25">
      <c r="A296">
        <v>289</v>
      </c>
      <c r="B296" s="1">
        <f t="shared" si="15"/>
        <v>0</v>
      </c>
      <c r="C296" s="8">
        <f>B296*int/12</f>
        <v>0</v>
      </c>
      <c r="D296" s="8">
        <f>pmt-C296</f>
        <v>1930.4883008789566</v>
      </c>
      <c r="E296" s="2">
        <f>IFERROR(IF(MOD(A296, interval)=0, extrapmt, 0), 0)</f>
        <v>0</v>
      </c>
      <c r="F296" s="1">
        <f t="shared" si="13"/>
        <v>0</v>
      </c>
      <c r="G296" s="1"/>
      <c r="H296" s="4">
        <f t="shared" si="14"/>
        <v>0</v>
      </c>
    </row>
    <row r="297" spans="1:8" x14ac:dyDescent="0.25">
      <c r="A297">
        <v>290</v>
      </c>
      <c r="B297" s="1">
        <f t="shared" si="15"/>
        <v>0</v>
      </c>
      <c r="C297" s="8">
        <f>B297*int/12</f>
        <v>0</v>
      </c>
      <c r="D297" s="8">
        <f>pmt-C297</f>
        <v>1930.4883008789566</v>
      </c>
      <c r="E297" s="2">
        <f>IFERROR(IF(MOD(A297, interval)=0, extrapmt, 0), 0)</f>
        <v>0</v>
      </c>
      <c r="F297" s="1">
        <f t="shared" si="13"/>
        <v>0</v>
      </c>
      <c r="G297" s="1"/>
      <c r="H297" s="4">
        <f t="shared" si="14"/>
        <v>0</v>
      </c>
    </row>
    <row r="298" spans="1:8" x14ac:dyDescent="0.25">
      <c r="A298">
        <v>291</v>
      </c>
      <c r="B298" s="1">
        <f t="shared" si="15"/>
        <v>0</v>
      </c>
      <c r="C298" s="8">
        <f>B298*int/12</f>
        <v>0</v>
      </c>
      <c r="D298" s="8">
        <f>pmt-C298</f>
        <v>1930.4883008789566</v>
      </c>
      <c r="E298" s="2">
        <f>IFERROR(IF(MOD(A298, interval)=0, extrapmt, 0), 0)</f>
        <v>500</v>
      </c>
      <c r="F298" s="1">
        <f t="shared" si="13"/>
        <v>0</v>
      </c>
      <c r="G298" s="1"/>
      <c r="H298" s="4">
        <f t="shared" si="14"/>
        <v>0</v>
      </c>
    </row>
    <row r="299" spans="1:8" x14ac:dyDescent="0.25">
      <c r="A299">
        <v>292</v>
      </c>
      <c r="B299" s="1">
        <f t="shared" si="15"/>
        <v>0</v>
      </c>
      <c r="C299" s="8">
        <f>B299*int/12</f>
        <v>0</v>
      </c>
      <c r="D299" s="8">
        <f>pmt-C299</f>
        <v>1930.4883008789566</v>
      </c>
      <c r="E299" s="2">
        <f>IFERROR(IF(MOD(A299, interval)=0, extrapmt, 0), 0)</f>
        <v>0</v>
      </c>
      <c r="F299" s="1">
        <f t="shared" si="13"/>
        <v>0</v>
      </c>
      <c r="G299" s="1"/>
      <c r="H299" s="4">
        <f t="shared" si="14"/>
        <v>0</v>
      </c>
    </row>
    <row r="300" spans="1:8" x14ac:dyDescent="0.25">
      <c r="A300">
        <v>293</v>
      </c>
      <c r="B300" s="1">
        <f t="shared" si="15"/>
        <v>0</v>
      </c>
      <c r="C300" s="8">
        <f>B300*int/12</f>
        <v>0</v>
      </c>
      <c r="D300" s="8">
        <f>pmt-C300</f>
        <v>1930.4883008789566</v>
      </c>
      <c r="E300" s="2">
        <f>IFERROR(IF(MOD(A300, interval)=0, extrapmt, 0), 0)</f>
        <v>0</v>
      </c>
      <c r="F300" s="1">
        <f t="shared" si="13"/>
        <v>0</v>
      </c>
      <c r="G300" s="1"/>
      <c r="H300" s="4">
        <f t="shared" si="14"/>
        <v>0</v>
      </c>
    </row>
    <row r="301" spans="1:8" x14ac:dyDescent="0.25">
      <c r="A301">
        <v>294</v>
      </c>
      <c r="B301" s="1">
        <f t="shared" si="15"/>
        <v>0</v>
      </c>
      <c r="C301" s="8">
        <f>B301*int/12</f>
        <v>0</v>
      </c>
      <c r="D301" s="8">
        <f>pmt-C301</f>
        <v>1930.4883008789566</v>
      </c>
      <c r="E301" s="2">
        <f>IFERROR(IF(MOD(A301, interval)=0, extrapmt, 0), 0)</f>
        <v>500</v>
      </c>
      <c r="F301" s="1">
        <f t="shared" si="13"/>
        <v>0</v>
      </c>
      <c r="G301" s="1"/>
      <c r="H301" s="4">
        <f t="shared" si="14"/>
        <v>0</v>
      </c>
    </row>
    <row r="302" spans="1:8" x14ac:dyDescent="0.25">
      <c r="A302">
        <v>295</v>
      </c>
      <c r="B302" s="1">
        <f t="shared" si="15"/>
        <v>0</v>
      </c>
      <c r="C302" s="8">
        <f>B302*int/12</f>
        <v>0</v>
      </c>
      <c r="D302" s="8">
        <f>pmt-C302</f>
        <v>1930.4883008789566</v>
      </c>
      <c r="E302" s="2">
        <f>IFERROR(IF(MOD(A302, interval)=0, extrapmt, 0), 0)</f>
        <v>0</v>
      </c>
      <c r="F302" s="1">
        <f t="shared" si="13"/>
        <v>0</v>
      </c>
      <c r="G302" s="1"/>
      <c r="H302" s="4">
        <f t="shared" si="14"/>
        <v>0</v>
      </c>
    </row>
    <row r="303" spans="1:8" x14ac:dyDescent="0.25">
      <c r="A303">
        <v>296</v>
      </c>
      <c r="B303" s="1">
        <f t="shared" si="15"/>
        <v>0</v>
      </c>
      <c r="C303" s="8">
        <f>B303*int/12</f>
        <v>0</v>
      </c>
      <c r="D303" s="8">
        <f>pmt-C303</f>
        <v>1930.4883008789566</v>
      </c>
      <c r="E303" s="2">
        <f>IFERROR(IF(MOD(A303, interval)=0, extrapmt, 0), 0)</f>
        <v>0</v>
      </c>
      <c r="F303" s="1">
        <f t="shared" si="13"/>
        <v>0</v>
      </c>
      <c r="G303" s="1"/>
      <c r="H303" s="4">
        <f t="shared" si="14"/>
        <v>0</v>
      </c>
    </row>
    <row r="304" spans="1:8" x14ac:dyDescent="0.25">
      <c r="A304">
        <v>297</v>
      </c>
      <c r="B304" s="1">
        <f t="shared" si="15"/>
        <v>0</v>
      </c>
      <c r="C304" s="8">
        <f>B304*int/12</f>
        <v>0</v>
      </c>
      <c r="D304" s="8">
        <f>pmt-C304</f>
        <v>1930.4883008789566</v>
      </c>
      <c r="E304" s="2">
        <f>IFERROR(IF(MOD(A304, interval)=0, extrapmt, 0), 0)</f>
        <v>500</v>
      </c>
      <c r="F304" s="1">
        <f t="shared" si="13"/>
        <v>0</v>
      </c>
      <c r="G304" s="1"/>
      <c r="H304" s="4">
        <f t="shared" si="14"/>
        <v>0</v>
      </c>
    </row>
    <row r="305" spans="1:8" x14ac:dyDescent="0.25">
      <c r="A305">
        <v>298</v>
      </c>
      <c r="B305" s="1">
        <f t="shared" si="15"/>
        <v>0</v>
      </c>
      <c r="C305" s="8">
        <f>B305*int/12</f>
        <v>0</v>
      </c>
      <c r="D305" s="8">
        <f>pmt-C305</f>
        <v>1930.4883008789566</v>
      </c>
      <c r="E305" s="2">
        <f>IFERROR(IF(MOD(A305, interval)=0, extrapmt, 0), 0)</f>
        <v>0</v>
      </c>
      <c r="F305" s="1">
        <f t="shared" si="13"/>
        <v>0</v>
      </c>
      <c r="G305" s="1"/>
      <c r="H305" s="4">
        <f t="shared" si="14"/>
        <v>0</v>
      </c>
    </row>
    <row r="306" spans="1:8" x14ac:dyDescent="0.25">
      <c r="A306">
        <v>299</v>
      </c>
      <c r="B306" s="1">
        <f t="shared" si="15"/>
        <v>0</v>
      </c>
      <c r="C306" s="8">
        <f>B306*int/12</f>
        <v>0</v>
      </c>
      <c r="D306" s="8">
        <f>pmt-C306</f>
        <v>1930.4883008789566</v>
      </c>
      <c r="E306" s="2">
        <f>IFERROR(IF(MOD(A306, interval)=0, extrapmt, 0), 0)</f>
        <v>0</v>
      </c>
      <c r="F306" s="1">
        <f t="shared" si="13"/>
        <v>0</v>
      </c>
      <c r="G306" s="1"/>
      <c r="H306" s="4">
        <f t="shared" si="14"/>
        <v>0</v>
      </c>
    </row>
    <row r="307" spans="1:8" x14ac:dyDescent="0.25">
      <c r="A307">
        <v>300</v>
      </c>
      <c r="B307" s="1">
        <f t="shared" si="15"/>
        <v>0</v>
      </c>
      <c r="C307" s="8">
        <f>B307*int/12</f>
        <v>0</v>
      </c>
      <c r="D307" s="8">
        <f>pmt-C307</f>
        <v>1930.4883008789566</v>
      </c>
      <c r="E307" s="2">
        <f>IFERROR(IF(MOD(A307, interval)=0, extrapmt, 0), 0)</f>
        <v>500</v>
      </c>
      <c r="F307" s="1">
        <f t="shared" si="13"/>
        <v>0</v>
      </c>
      <c r="G307" s="1"/>
      <c r="H307" s="4">
        <f t="shared" si="14"/>
        <v>0</v>
      </c>
    </row>
    <row r="308" spans="1:8" x14ac:dyDescent="0.25">
      <c r="A308">
        <v>301</v>
      </c>
      <c r="B308" s="1">
        <f t="shared" si="15"/>
        <v>0</v>
      </c>
      <c r="C308" s="8">
        <f>B308*int/12</f>
        <v>0</v>
      </c>
      <c r="D308" s="8">
        <f>pmt-C308</f>
        <v>1930.4883008789566</v>
      </c>
      <c r="E308" s="2">
        <f>IFERROR(IF(MOD(A308, interval)=0, extrapmt, 0), 0)</f>
        <v>0</v>
      </c>
      <c r="F308" s="1">
        <f t="shared" si="13"/>
        <v>0</v>
      </c>
      <c r="G308" s="1"/>
      <c r="H308" s="4">
        <f t="shared" si="14"/>
        <v>0</v>
      </c>
    </row>
    <row r="309" spans="1:8" x14ac:dyDescent="0.25">
      <c r="A309">
        <v>302</v>
      </c>
      <c r="B309" s="1">
        <f t="shared" si="15"/>
        <v>0</v>
      </c>
      <c r="C309" s="8">
        <f>B309*int/12</f>
        <v>0</v>
      </c>
      <c r="D309" s="8">
        <f>pmt-C309</f>
        <v>1930.4883008789566</v>
      </c>
      <c r="E309" s="2">
        <f>IFERROR(IF(MOD(A309, interval)=0, extrapmt, 0), 0)</f>
        <v>0</v>
      </c>
      <c r="F309" s="1">
        <f t="shared" si="13"/>
        <v>0</v>
      </c>
      <c r="G309" s="1"/>
      <c r="H309" s="4">
        <f t="shared" si="14"/>
        <v>0</v>
      </c>
    </row>
    <row r="310" spans="1:8" x14ac:dyDescent="0.25">
      <c r="A310">
        <v>303</v>
      </c>
      <c r="B310" s="1">
        <f t="shared" si="15"/>
        <v>0</v>
      </c>
      <c r="C310" s="8">
        <f>B310*int/12</f>
        <v>0</v>
      </c>
      <c r="D310" s="8">
        <f>pmt-C310</f>
        <v>1930.4883008789566</v>
      </c>
      <c r="E310" s="2">
        <f>IFERROR(IF(MOD(A310, interval)=0, extrapmt, 0), 0)</f>
        <v>500</v>
      </c>
      <c r="F310" s="1">
        <f t="shared" si="13"/>
        <v>0</v>
      </c>
      <c r="G310" s="1"/>
      <c r="H310" s="4">
        <f t="shared" si="14"/>
        <v>0</v>
      </c>
    </row>
    <row r="311" spans="1:8" x14ac:dyDescent="0.25">
      <c r="A311">
        <v>304</v>
      </c>
      <c r="B311" s="1">
        <f t="shared" si="15"/>
        <v>0</v>
      </c>
      <c r="C311" s="8">
        <f>B311*int/12</f>
        <v>0</v>
      </c>
      <c r="D311" s="8">
        <f>pmt-C311</f>
        <v>1930.4883008789566</v>
      </c>
      <c r="E311" s="2">
        <f>IFERROR(IF(MOD(A311, interval)=0, extrapmt, 0), 0)</f>
        <v>0</v>
      </c>
      <c r="F311" s="1">
        <f t="shared" si="13"/>
        <v>0</v>
      </c>
      <c r="G311" s="1"/>
      <c r="H311" s="4">
        <f t="shared" si="14"/>
        <v>0</v>
      </c>
    </row>
    <row r="312" spans="1:8" x14ac:dyDescent="0.25">
      <c r="A312">
        <v>305</v>
      </c>
      <c r="B312" s="1">
        <f t="shared" si="15"/>
        <v>0</v>
      </c>
      <c r="C312" s="8">
        <f>B312*int/12</f>
        <v>0</v>
      </c>
      <c r="D312" s="8">
        <f>pmt-C312</f>
        <v>1930.4883008789566</v>
      </c>
      <c r="E312" s="2">
        <f>IFERROR(IF(MOD(A312, interval)=0, extrapmt, 0), 0)</f>
        <v>0</v>
      </c>
      <c r="F312" s="1">
        <f t="shared" si="13"/>
        <v>0</v>
      </c>
      <c r="G312" s="1"/>
      <c r="H312" s="4">
        <f t="shared" si="14"/>
        <v>0</v>
      </c>
    </row>
    <row r="313" spans="1:8" x14ac:dyDescent="0.25">
      <c r="A313">
        <v>306</v>
      </c>
      <c r="B313" s="1">
        <f t="shared" si="15"/>
        <v>0</v>
      </c>
      <c r="C313" s="8">
        <f>B313*int/12</f>
        <v>0</v>
      </c>
      <c r="D313" s="8">
        <f>pmt-C313</f>
        <v>1930.4883008789566</v>
      </c>
      <c r="E313" s="2">
        <f>IFERROR(IF(MOD(A313, interval)=0, extrapmt, 0), 0)</f>
        <v>500</v>
      </c>
      <c r="F313" s="1">
        <f t="shared" si="13"/>
        <v>0</v>
      </c>
      <c r="G313" s="1"/>
      <c r="H313" s="4">
        <f t="shared" si="14"/>
        <v>0</v>
      </c>
    </row>
    <row r="314" spans="1:8" x14ac:dyDescent="0.25">
      <c r="A314">
        <v>307</v>
      </c>
      <c r="B314" s="1">
        <f t="shared" si="15"/>
        <v>0</v>
      </c>
      <c r="C314" s="8">
        <f>B314*int/12</f>
        <v>0</v>
      </c>
      <c r="D314" s="8">
        <f>pmt-C314</f>
        <v>1930.4883008789566</v>
      </c>
      <c r="E314" s="2">
        <f>IFERROR(IF(MOD(A314, interval)=0, extrapmt, 0), 0)</f>
        <v>0</v>
      </c>
      <c r="F314" s="1">
        <f t="shared" si="13"/>
        <v>0</v>
      </c>
      <c r="G314" s="1"/>
      <c r="H314" s="4">
        <f t="shared" si="14"/>
        <v>0</v>
      </c>
    </row>
    <row r="315" spans="1:8" x14ac:dyDescent="0.25">
      <c r="A315">
        <v>308</v>
      </c>
      <c r="B315" s="1">
        <f t="shared" si="15"/>
        <v>0</v>
      </c>
      <c r="C315" s="8">
        <f>B315*int/12</f>
        <v>0</v>
      </c>
      <c r="D315" s="8">
        <f>pmt-C315</f>
        <v>1930.4883008789566</v>
      </c>
      <c r="E315" s="2">
        <f>IFERROR(IF(MOD(A315, interval)=0, extrapmt, 0), 0)</f>
        <v>0</v>
      </c>
      <c r="F315" s="1">
        <f t="shared" si="13"/>
        <v>0</v>
      </c>
      <c r="G315" s="1"/>
      <c r="H315" s="4">
        <f t="shared" si="14"/>
        <v>0</v>
      </c>
    </row>
    <row r="316" spans="1:8" x14ac:dyDescent="0.25">
      <c r="A316">
        <v>309</v>
      </c>
      <c r="B316" s="1">
        <f t="shared" si="15"/>
        <v>0</v>
      </c>
      <c r="C316" s="8">
        <f>B316*int/12</f>
        <v>0</v>
      </c>
      <c r="D316" s="8">
        <f>pmt-C316</f>
        <v>1930.4883008789566</v>
      </c>
      <c r="E316" s="2">
        <f>IFERROR(IF(MOD(A316, interval)=0, extrapmt, 0), 0)</f>
        <v>500</v>
      </c>
      <c r="F316" s="1">
        <f t="shared" si="13"/>
        <v>0</v>
      </c>
      <c r="G316" s="1"/>
      <c r="H316" s="4">
        <f t="shared" si="14"/>
        <v>0</v>
      </c>
    </row>
    <row r="317" spans="1:8" x14ac:dyDescent="0.25">
      <c r="A317">
        <v>310</v>
      </c>
      <c r="B317" s="1">
        <f t="shared" si="15"/>
        <v>0</v>
      </c>
      <c r="C317" s="8">
        <f>B317*int/12</f>
        <v>0</v>
      </c>
      <c r="D317" s="8">
        <f>pmt-C317</f>
        <v>1930.4883008789566</v>
      </c>
      <c r="E317" s="2">
        <f>IFERROR(IF(MOD(A317, interval)=0, extrapmt, 0), 0)</f>
        <v>0</v>
      </c>
      <c r="F317" s="1">
        <f t="shared" si="13"/>
        <v>0</v>
      </c>
      <c r="G317" s="1"/>
      <c r="H317" s="4">
        <f t="shared" si="14"/>
        <v>0</v>
      </c>
    </row>
    <row r="318" spans="1:8" x14ac:dyDescent="0.25">
      <c r="A318">
        <v>311</v>
      </c>
      <c r="B318" s="1">
        <f t="shared" si="15"/>
        <v>0</v>
      </c>
      <c r="C318" s="8">
        <f>B318*int/12</f>
        <v>0</v>
      </c>
      <c r="D318" s="8">
        <f>pmt-C318</f>
        <v>1930.4883008789566</v>
      </c>
      <c r="E318" s="2">
        <f>IFERROR(IF(MOD(A318, interval)=0, extrapmt, 0), 0)</f>
        <v>0</v>
      </c>
      <c r="F318" s="1">
        <f t="shared" si="13"/>
        <v>0</v>
      </c>
      <c r="G318" s="1"/>
      <c r="H318" s="4">
        <f t="shared" si="14"/>
        <v>0</v>
      </c>
    </row>
    <row r="319" spans="1:8" x14ac:dyDescent="0.25">
      <c r="A319">
        <v>312</v>
      </c>
      <c r="B319" s="1">
        <f t="shared" si="15"/>
        <v>0</v>
      </c>
      <c r="C319" s="8">
        <f>B319*int/12</f>
        <v>0</v>
      </c>
      <c r="D319" s="8">
        <f>pmt-C319</f>
        <v>1930.4883008789566</v>
      </c>
      <c r="E319" s="2">
        <f>IFERROR(IF(MOD(A319, interval)=0, extrapmt, 0), 0)</f>
        <v>500</v>
      </c>
      <c r="F319" s="1">
        <f t="shared" si="13"/>
        <v>0</v>
      </c>
      <c r="G319" s="1"/>
      <c r="H319" s="4">
        <f t="shared" si="14"/>
        <v>0</v>
      </c>
    </row>
    <row r="320" spans="1:8" x14ac:dyDescent="0.25">
      <c r="A320">
        <v>313</v>
      </c>
      <c r="B320" s="1">
        <f t="shared" si="15"/>
        <v>0</v>
      </c>
      <c r="C320" s="8">
        <f>B320*int/12</f>
        <v>0</v>
      </c>
      <c r="D320" s="8">
        <f>pmt-C320</f>
        <v>1930.4883008789566</v>
      </c>
      <c r="E320" s="2">
        <f>IFERROR(IF(MOD(A320, interval)=0, extrapmt, 0), 0)</f>
        <v>0</v>
      </c>
      <c r="F320" s="1">
        <f t="shared" si="13"/>
        <v>0</v>
      </c>
      <c r="G320" s="1"/>
      <c r="H320" s="4">
        <f t="shared" si="14"/>
        <v>0</v>
      </c>
    </row>
    <row r="321" spans="1:8" x14ac:dyDescent="0.25">
      <c r="A321">
        <v>314</v>
      </c>
      <c r="B321" s="1">
        <f t="shared" si="15"/>
        <v>0</v>
      </c>
      <c r="C321" s="8">
        <f>B321*int/12</f>
        <v>0</v>
      </c>
      <c r="D321" s="8">
        <f>pmt-C321</f>
        <v>1930.4883008789566</v>
      </c>
      <c r="E321" s="2">
        <f>IFERROR(IF(MOD(A321, interval)=0, extrapmt, 0), 0)</f>
        <v>0</v>
      </c>
      <c r="F321" s="1">
        <f t="shared" si="13"/>
        <v>0</v>
      </c>
      <c r="G321" s="1"/>
      <c r="H321" s="4">
        <f t="shared" si="14"/>
        <v>0</v>
      </c>
    </row>
    <row r="322" spans="1:8" x14ac:dyDescent="0.25">
      <c r="A322">
        <v>315</v>
      </c>
      <c r="B322" s="1">
        <f t="shared" si="15"/>
        <v>0</v>
      </c>
      <c r="C322" s="8">
        <f>B322*int/12</f>
        <v>0</v>
      </c>
      <c r="D322" s="8">
        <f>pmt-C322</f>
        <v>1930.4883008789566</v>
      </c>
      <c r="E322" s="2">
        <f>IFERROR(IF(MOD(A322, interval)=0, extrapmt, 0), 0)</f>
        <v>500</v>
      </c>
      <c r="F322" s="1">
        <f t="shared" si="13"/>
        <v>0</v>
      </c>
      <c r="G322" s="1"/>
      <c r="H322" s="4">
        <f t="shared" si="14"/>
        <v>0</v>
      </c>
    </row>
    <row r="323" spans="1:8" x14ac:dyDescent="0.25">
      <c r="A323">
        <v>316</v>
      </c>
      <c r="B323" s="1">
        <f t="shared" si="15"/>
        <v>0</v>
      </c>
      <c r="C323" s="8">
        <f>B323*int/12</f>
        <v>0</v>
      </c>
      <c r="D323" s="8">
        <f>pmt-C323</f>
        <v>1930.4883008789566</v>
      </c>
      <c r="E323" s="2">
        <f>IFERROR(IF(MOD(A323, interval)=0, extrapmt, 0), 0)</f>
        <v>0</v>
      </c>
      <c r="F323" s="1">
        <f t="shared" si="13"/>
        <v>0</v>
      </c>
      <c r="G323" s="1"/>
      <c r="H323" s="4">
        <f t="shared" si="14"/>
        <v>0</v>
      </c>
    </row>
    <row r="324" spans="1:8" x14ac:dyDescent="0.25">
      <c r="A324">
        <v>317</v>
      </c>
      <c r="B324" s="1">
        <f t="shared" si="15"/>
        <v>0</v>
      </c>
      <c r="C324" s="8">
        <f>B324*int/12</f>
        <v>0</v>
      </c>
      <c r="D324" s="8">
        <f>pmt-C324</f>
        <v>1930.4883008789566</v>
      </c>
      <c r="E324" s="2">
        <f>IFERROR(IF(MOD(A324, interval)=0, extrapmt, 0), 0)</f>
        <v>0</v>
      </c>
      <c r="F324" s="1">
        <f t="shared" si="13"/>
        <v>0</v>
      </c>
      <c r="G324" s="1"/>
      <c r="H324" s="4">
        <f t="shared" si="14"/>
        <v>0</v>
      </c>
    </row>
    <row r="325" spans="1:8" x14ac:dyDescent="0.25">
      <c r="A325">
        <v>318</v>
      </c>
      <c r="B325" s="1">
        <f t="shared" si="15"/>
        <v>0</v>
      </c>
      <c r="C325" s="8">
        <f>B325*int/12</f>
        <v>0</v>
      </c>
      <c r="D325" s="8">
        <f>pmt-C325</f>
        <v>1930.4883008789566</v>
      </c>
      <c r="E325" s="2">
        <f>IFERROR(IF(MOD(A325, interval)=0, extrapmt, 0), 0)</f>
        <v>500</v>
      </c>
      <c r="F325" s="1">
        <f t="shared" si="13"/>
        <v>0</v>
      </c>
      <c r="G325" s="1"/>
      <c r="H325" s="4">
        <f t="shared" si="14"/>
        <v>0</v>
      </c>
    </row>
    <row r="326" spans="1:8" x14ac:dyDescent="0.25">
      <c r="A326">
        <v>319</v>
      </c>
      <c r="B326" s="1">
        <f t="shared" si="15"/>
        <v>0</v>
      </c>
      <c r="C326" s="8">
        <f>B326*int/12</f>
        <v>0</v>
      </c>
      <c r="D326" s="8">
        <f>pmt-C326</f>
        <v>1930.4883008789566</v>
      </c>
      <c r="E326" s="2">
        <f>IFERROR(IF(MOD(A326, interval)=0, extrapmt, 0), 0)</f>
        <v>0</v>
      </c>
      <c r="F326" s="1">
        <f t="shared" si="13"/>
        <v>0</v>
      </c>
      <c r="G326" s="1"/>
      <c r="H326" s="4">
        <f t="shared" si="14"/>
        <v>0</v>
      </c>
    </row>
    <row r="327" spans="1:8" x14ac:dyDescent="0.25">
      <c r="A327">
        <v>320</v>
      </c>
      <c r="B327" s="1">
        <f t="shared" si="15"/>
        <v>0</v>
      </c>
      <c r="C327" s="8">
        <f>B327*int/12</f>
        <v>0</v>
      </c>
      <c r="D327" s="8">
        <f>pmt-C327</f>
        <v>1930.4883008789566</v>
      </c>
      <c r="E327" s="2">
        <f>IFERROR(IF(MOD(A327, interval)=0, extrapmt, 0), 0)</f>
        <v>0</v>
      </c>
      <c r="F327" s="1">
        <f t="shared" si="13"/>
        <v>0</v>
      </c>
      <c r="G327" s="1"/>
      <c r="H327" s="4">
        <f t="shared" si="14"/>
        <v>0</v>
      </c>
    </row>
    <row r="328" spans="1:8" x14ac:dyDescent="0.25">
      <c r="A328">
        <v>321</v>
      </c>
      <c r="B328" s="1">
        <f t="shared" si="15"/>
        <v>0</v>
      </c>
      <c r="C328" s="8">
        <f>B328*int/12</f>
        <v>0</v>
      </c>
      <c r="D328" s="8">
        <f>pmt-C328</f>
        <v>1930.4883008789566</v>
      </c>
      <c r="E328" s="2">
        <f>IFERROR(IF(MOD(A328, interval)=0, extrapmt, 0), 0)</f>
        <v>500</v>
      </c>
      <c r="F328" s="1">
        <f t="shared" si="13"/>
        <v>0</v>
      </c>
      <c r="G328" s="1"/>
      <c r="H328" s="4">
        <f t="shared" si="14"/>
        <v>0</v>
      </c>
    </row>
    <row r="329" spans="1:8" x14ac:dyDescent="0.25">
      <c r="A329">
        <v>322</v>
      </c>
      <c r="B329" s="1">
        <f t="shared" si="15"/>
        <v>0</v>
      </c>
      <c r="C329" s="8">
        <f>B329*int/12</f>
        <v>0</v>
      </c>
      <c r="D329" s="8">
        <f>pmt-C329</f>
        <v>1930.4883008789566</v>
      </c>
      <c r="E329" s="2">
        <f>IFERROR(IF(MOD(A329, interval)=0, extrapmt, 0), 0)</f>
        <v>0</v>
      </c>
      <c r="F329" s="1">
        <f t="shared" ref="F329:F367" si="16">IF(B329-D329-E329&lt;0, 0, B329-D329-E329)</f>
        <v>0</v>
      </c>
      <c r="G329" s="1"/>
      <c r="H329" s="4">
        <f t="shared" ref="H329:H367" si="17">(F329&gt;0)*(F330=0)</f>
        <v>0</v>
      </c>
    </row>
    <row r="330" spans="1:8" x14ac:dyDescent="0.25">
      <c r="A330">
        <v>323</v>
      </c>
      <c r="B330" s="1">
        <f t="shared" si="15"/>
        <v>0</v>
      </c>
      <c r="C330" s="8">
        <f>B330*int/12</f>
        <v>0</v>
      </c>
      <c r="D330" s="8">
        <f>pmt-C330</f>
        <v>1930.4883008789566</v>
      </c>
      <c r="E330" s="2">
        <f>IFERROR(IF(MOD(A330, interval)=0, extrapmt, 0), 0)</f>
        <v>0</v>
      </c>
      <c r="F330" s="1">
        <f t="shared" si="16"/>
        <v>0</v>
      </c>
      <c r="G330" s="1"/>
      <c r="H330" s="4">
        <f t="shared" si="17"/>
        <v>0</v>
      </c>
    </row>
    <row r="331" spans="1:8" x14ac:dyDescent="0.25">
      <c r="A331">
        <v>324</v>
      </c>
      <c r="B331" s="1">
        <f t="shared" si="15"/>
        <v>0</v>
      </c>
      <c r="C331" s="8">
        <f>B331*int/12</f>
        <v>0</v>
      </c>
      <c r="D331" s="8">
        <f>pmt-C331</f>
        <v>1930.4883008789566</v>
      </c>
      <c r="E331" s="2">
        <f>IFERROR(IF(MOD(A331, interval)=0, extrapmt, 0), 0)</f>
        <v>500</v>
      </c>
      <c r="F331" s="1">
        <f t="shared" si="16"/>
        <v>0</v>
      </c>
      <c r="G331" s="1"/>
      <c r="H331" s="4">
        <f t="shared" si="17"/>
        <v>0</v>
      </c>
    </row>
    <row r="332" spans="1:8" x14ac:dyDescent="0.25">
      <c r="A332">
        <v>325</v>
      </c>
      <c r="B332" s="1">
        <f t="shared" ref="B332:B367" si="18">F331</f>
        <v>0</v>
      </c>
      <c r="C332" s="8">
        <f>B332*int/12</f>
        <v>0</v>
      </c>
      <c r="D332" s="8">
        <f>pmt-C332</f>
        <v>1930.4883008789566</v>
      </c>
      <c r="E332" s="2">
        <f>IFERROR(IF(MOD(A332, interval)=0, extrapmt, 0), 0)</f>
        <v>0</v>
      </c>
      <c r="F332" s="1">
        <f t="shared" si="16"/>
        <v>0</v>
      </c>
      <c r="G332" s="1"/>
      <c r="H332" s="4">
        <f t="shared" si="17"/>
        <v>0</v>
      </c>
    </row>
    <row r="333" spans="1:8" x14ac:dyDescent="0.25">
      <c r="A333">
        <v>326</v>
      </c>
      <c r="B333" s="1">
        <f t="shared" si="18"/>
        <v>0</v>
      </c>
      <c r="C333" s="8">
        <f>B333*int/12</f>
        <v>0</v>
      </c>
      <c r="D333" s="8">
        <f>pmt-C333</f>
        <v>1930.4883008789566</v>
      </c>
      <c r="E333" s="2">
        <f>IFERROR(IF(MOD(A333, interval)=0, extrapmt, 0), 0)</f>
        <v>0</v>
      </c>
      <c r="F333" s="1">
        <f t="shared" si="16"/>
        <v>0</v>
      </c>
      <c r="G333" s="1"/>
      <c r="H333" s="4">
        <f t="shared" si="17"/>
        <v>0</v>
      </c>
    </row>
    <row r="334" spans="1:8" x14ac:dyDescent="0.25">
      <c r="A334">
        <v>327</v>
      </c>
      <c r="B334" s="1">
        <f t="shared" si="18"/>
        <v>0</v>
      </c>
      <c r="C334" s="8">
        <f>B334*int/12</f>
        <v>0</v>
      </c>
      <c r="D334" s="8">
        <f>pmt-C334</f>
        <v>1930.4883008789566</v>
      </c>
      <c r="E334" s="2">
        <f>IFERROR(IF(MOD(A334, interval)=0, extrapmt, 0), 0)</f>
        <v>500</v>
      </c>
      <c r="F334" s="1">
        <f t="shared" si="16"/>
        <v>0</v>
      </c>
      <c r="G334" s="1"/>
      <c r="H334" s="4">
        <f t="shared" si="17"/>
        <v>0</v>
      </c>
    </row>
    <row r="335" spans="1:8" x14ac:dyDescent="0.25">
      <c r="A335">
        <v>328</v>
      </c>
      <c r="B335" s="1">
        <f t="shared" si="18"/>
        <v>0</v>
      </c>
      <c r="C335" s="8">
        <f>B335*int/12</f>
        <v>0</v>
      </c>
      <c r="D335" s="8">
        <f>pmt-C335</f>
        <v>1930.4883008789566</v>
      </c>
      <c r="E335" s="2">
        <f>IFERROR(IF(MOD(A335, interval)=0, extrapmt, 0), 0)</f>
        <v>0</v>
      </c>
      <c r="F335" s="1">
        <f t="shared" si="16"/>
        <v>0</v>
      </c>
      <c r="G335" s="1"/>
      <c r="H335" s="4">
        <f t="shared" si="17"/>
        <v>0</v>
      </c>
    </row>
    <row r="336" spans="1:8" x14ac:dyDescent="0.25">
      <c r="A336">
        <v>329</v>
      </c>
      <c r="B336" s="1">
        <f t="shared" si="18"/>
        <v>0</v>
      </c>
      <c r="C336" s="8">
        <f>B336*int/12</f>
        <v>0</v>
      </c>
      <c r="D336" s="8">
        <f>pmt-C336</f>
        <v>1930.4883008789566</v>
      </c>
      <c r="E336" s="2">
        <f>IFERROR(IF(MOD(A336, interval)=0, extrapmt, 0), 0)</f>
        <v>0</v>
      </c>
      <c r="F336" s="1">
        <f t="shared" si="16"/>
        <v>0</v>
      </c>
      <c r="G336" s="1"/>
      <c r="H336" s="4">
        <f t="shared" si="17"/>
        <v>0</v>
      </c>
    </row>
    <row r="337" spans="1:8" x14ac:dyDescent="0.25">
      <c r="A337">
        <v>330</v>
      </c>
      <c r="B337" s="1">
        <f t="shared" si="18"/>
        <v>0</v>
      </c>
      <c r="C337" s="8">
        <f>B337*int/12</f>
        <v>0</v>
      </c>
      <c r="D337" s="8">
        <f>pmt-C337</f>
        <v>1930.4883008789566</v>
      </c>
      <c r="E337" s="2">
        <f>IFERROR(IF(MOD(A337, interval)=0, extrapmt, 0), 0)</f>
        <v>500</v>
      </c>
      <c r="F337" s="1">
        <f t="shared" si="16"/>
        <v>0</v>
      </c>
      <c r="G337" s="1"/>
      <c r="H337" s="4">
        <f t="shared" si="17"/>
        <v>0</v>
      </c>
    </row>
    <row r="338" spans="1:8" x14ac:dyDescent="0.25">
      <c r="A338">
        <v>331</v>
      </c>
      <c r="B338" s="1">
        <f t="shared" si="18"/>
        <v>0</v>
      </c>
      <c r="C338" s="8">
        <f>B338*int/12</f>
        <v>0</v>
      </c>
      <c r="D338" s="8">
        <f>pmt-C338</f>
        <v>1930.4883008789566</v>
      </c>
      <c r="E338" s="2">
        <f>IFERROR(IF(MOD(A338, interval)=0, extrapmt, 0), 0)</f>
        <v>0</v>
      </c>
      <c r="F338" s="1">
        <f t="shared" si="16"/>
        <v>0</v>
      </c>
      <c r="G338" s="1"/>
      <c r="H338" s="4">
        <f t="shared" si="17"/>
        <v>0</v>
      </c>
    </row>
    <row r="339" spans="1:8" x14ac:dyDescent="0.25">
      <c r="A339">
        <v>332</v>
      </c>
      <c r="B339" s="1">
        <f t="shared" si="18"/>
        <v>0</v>
      </c>
      <c r="C339" s="8">
        <f>B339*int/12</f>
        <v>0</v>
      </c>
      <c r="D339" s="8">
        <f>pmt-C339</f>
        <v>1930.4883008789566</v>
      </c>
      <c r="E339" s="2">
        <f>IFERROR(IF(MOD(A339, interval)=0, extrapmt, 0), 0)</f>
        <v>0</v>
      </c>
      <c r="F339" s="1">
        <f t="shared" si="16"/>
        <v>0</v>
      </c>
      <c r="G339" s="1"/>
      <c r="H339" s="4">
        <f t="shared" si="17"/>
        <v>0</v>
      </c>
    </row>
    <row r="340" spans="1:8" x14ac:dyDescent="0.25">
      <c r="A340">
        <v>333</v>
      </c>
      <c r="B340" s="1">
        <f t="shared" si="18"/>
        <v>0</v>
      </c>
      <c r="C340" s="8">
        <f>B340*int/12</f>
        <v>0</v>
      </c>
      <c r="D340" s="8">
        <f>pmt-C340</f>
        <v>1930.4883008789566</v>
      </c>
      <c r="E340" s="2">
        <f>IFERROR(IF(MOD(A340, interval)=0, extrapmt, 0), 0)</f>
        <v>500</v>
      </c>
      <c r="F340" s="1">
        <f t="shared" si="16"/>
        <v>0</v>
      </c>
      <c r="G340" s="1"/>
      <c r="H340" s="4">
        <f t="shared" si="17"/>
        <v>0</v>
      </c>
    </row>
    <row r="341" spans="1:8" x14ac:dyDescent="0.25">
      <c r="A341">
        <v>334</v>
      </c>
      <c r="B341" s="1">
        <f t="shared" si="18"/>
        <v>0</v>
      </c>
      <c r="C341" s="8">
        <f>B341*int/12</f>
        <v>0</v>
      </c>
      <c r="D341" s="8">
        <f>pmt-C341</f>
        <v>1930.4883008789566</v>
      </c>
      <c r="E341" s="2">
        <f>IFERROR(IF(MOD(A341, interval)=0, extrapmt, 0), 0)</f>
        <v>0</v>
      </c>
      <c r="F341" s="1">
        <f t="shared" si="16"/>
        <v>0</v>
      </c>
      <c r="G341" s="1"/>
      <c r="H341" s="4">
        <f t="shared" si="17"/>
        <v>0</v>
      </c>
    </row>
    <row r="342" spans="1:8" x14ac:dyDescent="0.25">
      <c r="A342">
        <v>335</v>
      </c>
      <c r="B342" s="1">
        <f t="shared" si="18"/>
        <v>0</v>
      </c>
      <c r="C342" s="8">
        <f>B342*int/12</f>
        <v>0</v>
      </c>
      <c r="D342" s="8">
        <f>pmt-C342</f>
        <v>1930.4883008789566</v>
      </c>
      <c r="E342" s="2">
        <f>IFERROR(IF(MOD(A342, interval)=0, extrapmt, 0), 0)</f>
        <v>0</v>
      </c>
      <c r="F342" s="1">
        <f t="shared" si="16"/>
        <v>0</v>
      </c>
      <c r="G342" s="1"/>
      <c r="H342" s="4">
        <f t="shared" si="17"/>
        <v>0</v>
      </c>
    </row>
    <row r="343" spans="1:8" x14ac:dyDescent="0.25">
      <c r="A343">
        <v>336</v>
      </c>
      <c r="B343" s="1">
        <f t="shared" si="18"/>
        <v>0</v>
      </c>
      <c r="C343" s="8">
        <f>B343*int/12</f>
        <v>0</v>
      </c>
      <c r="D343" s="8">
        <f>pmt-C343</f>
        <v>1930.4883008789566</v>
      </c>
      <c r="E343" s="2">
        <f>IFERROR(IF(MOD(A343, interval)=0, extrapmt, 0), 0)</f>
        <v>500</v>
      </c>
      <c r="F343" s="1">
        <f t="shared" si="16"/>
        <v>0</v>
      </c>
      <c r="G343" s="1"/>
      <c r="H343" s="4">
        <f t="shared" si="17"/>
        <v>0</v>
      </c>
    </row>
    <row r="344" spans="1:8" x14ac:dyDescent="0.25">
      <c r="A344">
        <v>337</v>
      </c>
      <c r="B344" s="1">
        <f t="shared" si="18"/>
        <v>0</v>
      </c>
      <c r="C344" s="8">
        <f>B344*int/12</f>
        <v>0</v>
      </c>
      <c r="D344" s="8">
        <f>pmt-C344</f>
        <v>1930.4883008789566</v>
      </c>
      <c r="E344" s="2">
        <f>IFERROR(IF(MOD(A344, interval)=0, extrapmt, 0), 0)</f>
        <v>0</v>
      </c>
      <c r="F344" s="1">
        <f t="shared" si="16"/>
        <v>0</v>
      </c>
      <c r="G344" s="1"/>
      <c r="H344" s="4">
        <f t="shared" si="17"/>
        <v>0</v>
      </c>
    </row>
    <row r="345" spans="1:8" x14ac:dyDescent="0.25">
      <c r="A345">
        <v>338</v>
      </c>
      <c r="B345" s="1">
        <f t="shared" si="18"/>
        <v>0</v>
      </c>
      <c r="C345" s="8">
        <f>B345*int/12</f>
        <v>0</v>
      </c>
      <c r="D345" s="8">
        <f>pmt-C345</f>
        <v>1930.4883008789566</v>
      </c>
      <c r="E345" s="2">
        <f>IFERROR(IF(MOD(A345, interval)=0, extrapmt, 0), 0)</f>
        <v>0</v>
      </c>
      <c r="F345" s="1">
        <f t="shared" si="16"/>
        <v>0</v>
      </c>
      <c r="G345" s="1"/>
      <c r="H345" s="4">
        <f t="shared" si="17"/>
        <v>0</v>
      </c>
    </row>
    <row r="346" spans="1:8" x14ac:dyDescent="0.25">
      <c r="A346">
        <v>339</v>
      </c>
      <c r="B346" s="1">
        <f t="shared" si="18"/>
        <v>0</v>
      </c>
      <c r="C346" s="8">
        <f>B346*int/12</f>
        <v>0</v>
      </c>
      <c r="D346" s="8">
        <f>pmt-C346</f>
        <v>1930.4883008789566</v>
      </c>
      <c r="E346" s="2">
        <f>IFERROR(IF(MOD(A346, interval)=0, extrapmt, 0), 0)</f>
        <v>500</v>
      </c>
      <c r="F346" s="1">
        <f t="shared" si="16"/>
        <v>0</v>
      </c>
      <c r="G346" s="1"/>
      <c r="H346" s="4">
        <f t="shared" si="17"/>
        <v>0</v>
      </c>
    </row>
    <row r="347" spans="1:8" x14ac:dyDescent="0.25">
      <c r="A347">
        <v>340</v>
      </c>
      <c r="B347" s="1">
        <f t="shared" si="18"/>
        <v>0</v>
      </c>
      <c r="C347" s="8">
        <f>B347*int/12</f>
        <v>0</v>
      </c>
      <c r="D347" s="8">
        <f>pmt-C347</f>
        <v>1930.4883008789566</v>
      </c>
      <c r="E347" s="2">
        <f>IFERROR(IF(MOD(A347, interval)=0, extrapmt, 0), 0)</f>
        <v>0</v>
      </c>
      <c r="F347" s="1">
        <f t="shared" si="16"/>
        <v>0</v>
      </c>
      <c r="G347" s="1"/>
      <c r="H347" s="4">
        <f t="shared" si="17"/>
        <v>0</v>
      </c>
    </row>
    <row r="348" spans="1:8" x14ac:dyDescent="0.25">
      <c r="A348">
        <v>341</v>
      </c>
      <c r="B348" s="1">
        <f t="shared" si="18"/>
        <v>0</v>
      </c>
      <c r="C348" s="8">
        <f>B348*int/12</f>
        <v>0</v>
      </c>
      <c r="D348" s="8">
        <f>pmt-C348</f>
        <v>1930.4883008789566</v>
      </c>
      <c r="E348" s="2">
        <f>IFERROR(IF(MOD(A348, interval)=0, extrapmt, 0), 0)</f>
        <v>0</v>
      </c>
      <c r="F348" s="1">
        <f t="shared" si="16"/>
        <v>0</v>
      </c>
      <c r="G348" s="1"/>
      <c r="H348" s="4">
        <f t="shared" si="17"/>
        <v>0</v>
      </c>
    </row>
    <row r="349" spans="1:8" x14ac:dyDescent="0.25">
      <c r="A349">
        <v>342</v>
      </c>
      <c r="B349" s="1">
        <f t="shared" si="18"/>
        <v>0</v>
      </c>
      <c r="C349" s="8">
        <f>B349*int/12</f>
        <v>0</v>
      </c>
      <c r="D349" s="8">
        <f>pmt-C349</f>
        <v>1930.4883008789566</v>
      </c>
      <c r="E349" s="2">
        <f>IFERROR(IF(MOD(A349, interval)=0, extrapmt, 0), 0)</f>
        <v>500</v>
      </c>
      <c r="F349" s="1">
        <f t="shared" si="16"/>
        <v>0</v>
      </c>
      <c r="G349" s="1"/>
      <c r="H349" s="4">
        <f t="shared" si="17"/>
        <v>0</v>
      </c>
    </row>
    <row r="350" spans="1:8" x14ac:dyDescent="0.25">
      <c r="A350">
        <v>343</v>
      </c>
      <c r="B350" s="1">
        <f t="shared" si="18"/>
        <v>0</v>
      </c>
      <c r="C350" s="8">
        <f>B350*int/12</f>
        <v>0</v>
      </c>
      <c r="D350" s="8">
        <f>pmt-C350</f>
        <v>1930.4883008789566</v>
      </c>
      <c r="E350" s="2">
        <f>IFERROR(IF(MOD(A350, interval)=0, extrapmt, 0), 0)</f>
        <v>0</v>
      </c>
      <c r="F350" s="1">
        <f t="shared" si="16"/>
        <v>0</v>
      </c>
      <c r="G350" s="1"/>
      <c r="H350" s="4">
        <f t="shared" si="17"/>
        <v>0</v>
      </c>
    </row>
    <row r="351" spans="1:8" x14ac:dyDescent="0.25">
      <c r="A351">
        <v>344</v>
      </c>
      <c r="B351" s="1">
        <f t="shared" si="18"/>
        <v>0</v>
      </c>
      <c r="C351" s="8">
        <f>B351*int/12</f>
        <v>0</v>
      </c>
      <c r="D351" s="8">
        <f>pmt-C351</f>
        <v>1930.4883008789566</v>
      </c>
      <c r="E351" s="2">
        <f>IFERROR(IF(MOD(A351, interval)=0, extrapmt, 0), 0)</f>
        <v>0</v>
      </c>
      <c r="F351" s="1">
        <f t="shared" si="16"/>
        <v>0</v>
      </c>
      <c r="G351" s="1"/>
      <c r="H351" s="4">
        <f t="shared" si="17"/>
        <v>0</v>
      </c>
    </row>
    <row r="352" spans="1:8" x14ac:dyDescent="0.25">
      <c r="A352">
        <v>345</v>
      </c>
      <c r="B352" s="1">
        <f t="shared" si="18"/>
        <v>0</v>
      </c>
      <c r="C352" s="8">
        <f>B352*int/12</f>
        <v>0</v>
      </c>
      <c r="D352" s="8">
        <f>pmt-C352</f>
        <v>1930.4883008789566</v>
      </c>
      <c r="E352" s="2">
        <f>IFERROR(IF(MOD(A352, interval)=0, extrapmt, 0), 0)</f>
        <v>500</v>
      </c>
      <c r="F352" s="1">
        <f t="shared" si="16"/>
        <v>0</v>
      </c>
      <c r="G352" s="1"/>
      <c r="H352" s="4">
        <f t="shared" si="17"/>
        <v>0</v>
      </c>
    </row>
    <row r="353" spans="1:8" x14ac:dyDescent="0.25">
      <c r="A353">
        <v>346</v>
      </c>
      <c r="B353" s="1">
        <f t="shared" si="18"/>
        <v>0</v>
      </c>
      <c r="C353" s="8">
        <f>B353*int/12</f>
        <v>0</v>
      </c>
      <c r="D353" s="8">
        <f>pmt-C353</f>
        <v>1930.4883008789566</v>
      </c>
      <c r="E353" s="2">
        <f>IFERROR(IF(MOD(A353, interval)=0, extrapmt, 0), 0)</f>
        <v>0</v>
      </c>
      <c r="F353" s="1">
        <f t="shared" si="16"/>
        <v>0</v>
      </c>
      <c r="G353" s="1"/>
      <c r="H353" s="4">
        <f t="shared" si="17"/>
        <v>0</v>
      </c>
    </row>
    <row r="354" spans="1:8" x14ac:dyDescent="0.25">
      <c r="A354">
        <v>347</v>
      </c>
      <c r="B354" s="1">
        <f t="shared" si="18"/>
        <v>0</v>
      </c>
      <c r="C354" s="8">
        <f>B354*int/12</f>
        <v>0</v>
      </c>
      <c r="D354" s="8">
        <f>pmt-C354</f>
        <v>1930.4883008789566</v>
      </c>
      <c r="E354" s="2">
        <f>IFERROR(IF(MOD(A354, interval)=0, extrapmt, 0), 0)</f>
        <v>0</v>
      </c>
      <c r="F354" s="1">
        <f t="shared" si="16"/>
        <v>0</v>
      </c>
      <c r="G354" s="1"/>
      <c r="H354" s="4">
        <f t="shared" si="17"/>
        <v>0</v>
      </c>
    </row>
    <row r="355" spans="1:8" x14ac:dyDescent="0.25">
      <c r="A355">
        <v>348</v>
      </c>
      <c r="B355" s="1">
        <f t="shared" si="18"/>
        <v>0</v>
      </c>
      <c r="C355" s="8">
        <f>B355*int/12</f>
        <v>0</v>
      </c>
      <c r="D355" s="8">
        <f>pmt-C355</f>
        <v>1930.4883008789566</v>
      </c>
      <c r="E355" s="2">
        <f>IFERROR(IF(MOD(A355, interval)=0, extrapmt, 0), 0)</f>
        <v>500</v>
      </c>
      <c r="F355" s="1">
        <f t="shared" si="16"/>
        <v>0</v>
      </c>
      <c r="G355" s="1"/>
      <c r="H355" s="4">
        <f t="shared" si="17"/>
        <v>0</v>
      </c>
    </row>
    <row r="356" spans="1:8" x14ac:dyDescent="0.25">
      <c r="A356">
        <v>349</v>
      </c>
      <c r="B356" s="1">
        <f t="shared" si="18"/>
        <v>0</v>
      </c>
      <c r="C356" s="8">
        <f>B356*int/12</f>
        <v>0</v>
      </c>
      <c r="D356" s="8">
        <f>pmt-C356</f>
        <v>1930.4883008789566</v>
      </c>
      <c r="E356" s="2">
        <f>IFERROR(IF(MOD(A356, interval)=0, extrapmt, 0), 0)</f>
        <v>0</v>
      </c>
      <c r="F356" s="1">
        <f t="shared" si="16"/>
        <v>0</v>
      </c>
      <c r="G356" s="1"/>
      <c r="H356" s="4">
        <f t="shared" si="17"/>
        <v>0</v>
      </c>
    </row>
    <row r="357" spans="1:8" x14ac:dyDescent="0.25">
      <c r="A357">
        <v>350</v>
      </c>
      <c r="B357" s="1">
        <f t="shared" si="18"/>
        <v>0</v>
      </c>
      <c r="C357" s="8">
        <f>B357*int/12</f>
        <v>0</v>
      </c>
      <c r="D357" s="8">
        <f>pmt-C357</f>
        <v>1930.4883008789566</v>
      </c>
      <c r="E357" s="2">
        <f>IFERROR(IF(MOD(A357, interval)=0, extrapmt, 0), 0)</f>
        <v>0</v>
      </c>
      <c r="F357" s="1">
        <f t="shared" si="16"/>
        <v>0</v>
      </c>
      <c r="G357" s="1"/>
      <c r="H357" s="4">
        <f t="shared" si="17"/>
        <v>0</v>
      </c>
    </row>
    <row r="358" spans="1:8" x14ac:dyDescent="0.25">
      <c r="A358">
        <v>351</v>
      </c>
      <c r="B358" s="1">
        <f t="shared" si="18"/>
        <v>0</v>
      </c>
      <c r="C358" s="8">
        <f>B358*int/12</f>
        <v>0</v>
      </c>
      <c r="D358" s="8">
        <f>pmt-C358</f>
        <v>1930.4883008789566</v>
      </c>
      <c r="E358" s="2">
        <f>IFERROR(IF(MOD(A358, interval)=0, extrapmt, 0), 0)</f>
        <v>500</v>
      </c>
      <c r="F358" s="1">
        <f t="shared" si="16"/>
        <v>0</v>
      </c>
      <c r="G358" s="1"/>
      <c r="H358" s="4">
        <f t="shared" si="17"/>
        <v>0</v>
      </c>
    </row>
    <row r="359" spans="1:8" x14ac:dyDescent="0.25">
      <c r="A359">
        <v>352</v>
      </c>
      <c r="B359" s="1">
        <f t="shared" si="18"/>
        <v>0</v>
      </c>
      <c r="C359" s="8">
        <f>B359*int/12</f>
        <v>0</v>
      </c>
      <c r="D359" s="8">
        <f>pmt-C359</f>
        <v>1930.4883008789566</v>
      </c>
      <c r="E359" s="2">
        <f>IFERROR(IF(MOD(A359, interval)=0, extrapmt, 0), 0)</f>
        <v>0</v>
      </c>
      <c r="F359" s="1">
        <f t="shared" si="16"/>
        <v>0</v>
      </c>
      <c r="G359" s="1"/>
      <c r="H359" s="4">
        <f t="shared" si="17"/>
        <v>0</v>
      </c>
    </row>
    <row r="360" spans="1:8" x14ac:dyDescent="0.25">
      <c r="A360">
        <v>353</v>
      </c>
      <c r="B360" s="1">
        <f t="shared" si="18"/>
        <v>0</v>
      </c>
      <c r="C360" s="8">
        <f>B360*int/12</f>
        <v>0</v>
      </c>
      <c r="D360" s="8">
        <f>pmt-C360</f>
        <v>1930.4883008789566</v>
      </c>
      <c r="E360" s="2">
        <f>IFERROR(IF(MOD(A360, interval)=0, extrapmt, 0), 0)</f>
        <v>0</v>
      </c>
      <c r="F360" s="1">
        <f t="shared" si="16"/>
        <v>0</v>
      </c>
      <c r="G360" s="1"/>
      <c r="H360" s="4">
        <f t="shared" si="17"/>
        <v>0</v>
      </c>
    </row>
    <row r="361" spans="1:8" x14ac:dyDescent="0.25">
      <c r="A361">
        <v>354</v>
      </c>
      <c r="B361" s="1">
        <f t="shared" si="18"/>
        <v>0</v>
      </c>
      <c r="C361" s="8">
        <f>B361*int/12</f>
        <v>0</v>
      </c>
      <c r="D361" s="8">
        <f>pmt-C361</f>
        <v>1930.4883008789566</v>
      </c>
      <c r="E361" s="2">
        <f>IFERROR(IF(MOD(A361, interval)=0, extrapmt, 0), 0)</f>
        <v>500</v>
      </c>
      <c r="F361" s="1">
        <f t="shared" si="16"/>
        <v>0</v>
      </c>
      <c r="G361" s="1"/>
      <c r="H361" s="4">
        <f t="shared" si="17"/>
        <v>0</v>
      </c>
    </row>
    <row r="362" spans="1:8" x14ac:dyDescent="0.25">
      <c r="A362">
        <v>355</v>
      </c>
      <c r="B362" s="1">
        <f t="shared" si="18"/>
        <v>0</v>
      </c>
      <c r="C362" s="8">
        <f>B362*int/12</f>
        <v>0</v>
      </c>
      <c r="D362" s="8">
        <f>pmt-C362</f>
        <v>1930.4883008789566</v>
      </c>
      <c r="E362" s="2">
        <f>IFERROR(IF(MOD(A362, interval)=0, extrapmt, 0), 0)</f>
        <v>0</v>
      </c>
      <c r="F362" s="1">
        <f t="shared" si="16"/>
        <v>0</v>
      </c>
      <c r="G362" s="1"/>
      <c r="H362" s="4">
        <f t="shared" si="17"/>
        <v>0</v>
      </c>
    </row>
    <row r="363" spans="1:8" x14ac:dyDescent="0.25">
      <c r="A363">
        <v>356</v>
      </c>
      <c r="B363" s="1">
        <f t="shared" si="18"/>
        <v>0</v>
      </c>
      <c r="C363" s="8">
        <f>B363*int/12</f>
        <v>0</v>
      </c>
      <c r="D363" s="8">
        <f>pmt-C363</f>
        <v>1930.4883008789566</v>
      </c>
      <c r="E363" s="2">
        <f>IFERROR(IF(MOD(A363, interval)=0, extrapmt, 0), 0)</f>
        <v>0</v>
      </c>
      <c r="F363" s="1">
        <f t="shared" si="16"/>
        <v>0</v>
      </c>
      <c r="G363" s="1"/>
      <c r="H363" s="4">
        <f t="shared" si="17"/>
        <v>0</v>
      </c>
    </row>
    <row r="364" spans="1:8" x14ac:dyDescent="0.25">
      <c r="A364">
        <v>357</v>
      </c>
      <c r="B364" s="1">
        <f t="shared" si="18"/>
        <v>0</v>
      </c>
      <c r="C364" s="8">
        <f>B364*int/12</f>
        <v>0</v>
      </c>
      <c r="D364" s="8">
        <f>pmt-C364</f>
        <v>1930.4883008789566</v>
      </c>
      <c r="E364" s="2">
        <f>IFERROR(IF(MOD(A364, interval)=0, extrapmt, 0), 0)</f>
        <v>500</v>
      </c>
      <c r="F364" s="1">
        <f t="shared" si="16"/>
        <v>0</v>
      </c>
      <c r="G364" s="1"/>
      <c r="H364" s="4">
        <f t="shared" si="17"/>
        <v>0</v>
      </c>
    </row>
    <row r="365" spans="1:8" x14ac:dyDescent="0.25">
      <c r="A365">
        <v>358</v>
      </c>
      <c r="B365" s="1">
        <f t="shared" si="18"/>
        <v>0</v>
      </c>
      <c r="C365" s="8">
        <f>B365*int/12</f>
        <v>0</v>
      </c>
      <c r="D365" s="8">
        <f>pmt-C365</f>
        <v>1930.4883008789566</v>
      </c>
      <c r="E365" s="2">
        <f>IFERROR(IF(MOD(A365, interval)=0, extrapmt, 0), 0)</f>
        <v>0</v>
      </c>
      <c r="F365" s="1">
        <f t="shared" si="16"/>
        <v>0</v>
      </c>
      <c r="G365" s="1"/>
      <c r="H365" s="4">
        <f t="shared" si="17"/>
        <v>0</v>
      </c>
    </row>
    <row r="366" spans="1:8" x14ac:dyDescent="0.25">
      <c r="A366">
        <v>359</v>
      </c>
      <c r="B366" s="1">
        <f t="shared" si="18"/>
        <v>0</v>
      </c>
      <c r="C366" s="8">
        <f>B366*int/12</f>
        <v>0</v>
      </c>
      <c r="D366" s="8">
        <f>pmt-C366</f>
        <v>1930.4883008789566</v>
      </c>
      <c r="E366" s="2">
        <f>IFERROR(IF(MOD(A366, interval)=0, extrapmt, 0), 0)</f>
        <v>0</v>
      </c>
      <c r="F366" s="1">
        <f t="shared" si="16"/>
        <v>0</v>
      </c>
      <c r="G366" s="1"/>
      <c r="H366" s="4">
        <f t="shared" si="17"/>
        <v>0</v>
      </c>
    </row>
    <row r="367" spans="1:8" x14ac:dyDescent="0.25">
      <c r="A367">
        <v>360</v>
      </c>
      <c r="B367" s="1">
        <f t="shared" si="18"/>
        <v>0</v>
      </c>
      <c r="C367" s="8">
        <f>B367*int/12</f>
        <v>0</v>
      </c>
      <c r="D367" s="8">
        <f>pmt-C367</f>
        <v>1930.4883008789566</v>
      </c>
      <c r="E367" s="2">
        <f>IFERROR(IF(MOD(A367, interval)=0, extrapmt, 0), 0)</f>
        <v>500</v>
      </c>
      <c r="F367" s="1">
        <f t="shared" si="16"/>
        <v>0</v>
      </c>
      <c r="G367" s="1"/>
      <c r="H367" s="4">
        <f t="shared" si="17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Dashboard</vt:lpstr>
      <vt:lpstr>Amortization Schedule</vt:lpstr>
      <vt:lpstr>extrapmt</vt:lpstr>
      <vt:lpstr>int</vt:lpstr>
      <vt:lpstr>interval</vt:lpstr>
      <vt:lpstr>n</vt:lpstr>
      <vt:lpstr>P</vt:lpstr>
      <vt:lpstr>pmt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2021-01-20T02:11:53Z</dcterms:created>
  <dcterms:modified xsi:type="dcterms:W3CDTF">2023-09-07T16:12:56Z</dcterms:modified>
</cp:coreProperties>
</file>