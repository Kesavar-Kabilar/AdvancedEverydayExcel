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731" codeName="{C026B480-071E-DA80-A48C-D3F380F32C35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SC Kes\Excel\Course Files\"/>
    </mc:Choice>
  </mc:AlternateContent>
  <xr:revisionPtr revIDLastSave="0" documentId="13_ncr:1_{98B611F7-E623-48A6-9907-0ABCBF4BC337}" xr6:coauthVersionLast="47" xr6:coauthVersionMax="47" xr10:uidLastSave="{00000000-0000-0000-0000-000000000000}"/>
  <bookViews>
    <workbookView xWindow="-120" yWindow="-120" windowWidth="20730" windowHeight="11160" activeTab="2" xr2:uid="{92503F77-4EF9-43FE-84EA-261630EEFA20}"/>
  </bookViews>
  <sheets>
    <sheet name="Dashboard" sheetId="1" r:id="rId1"/>
    <sheet name="Calculations" sheetId="2" r:id="rId2"/>
    <sheet name="Original Data" sheetId="4" r:id="rId3"/>
  </sheets>
  <definedNames>
    <definedName name="Beta">MMULT(XtXinv, Xty)</definedName>
    <definedName name="n">COUNT(xdata)</definedName>
    <definedName name="p">Dashboard!$E$2+1</definedName>
    <definedName name="res">ydata-ypred</definedName>
    <definedName name="solver_eng" localSheetId="0" hidden="1">1</definedName>
    <definedName name="solver_neg" localSheetId="0" hidden="1">1</definedName>
    <definedName name="solver_num" localSheetId="0" hidden="1">0</definedName>
    <definedName name="solver_opt" localSheetId="0" hidden="1">Dashboard!$B$7</definedName>
    <definedName name="solver_typ" localSheetId="0" hidden="1">1</definedName>
    <definedName name="solver_val" localSheetId="0" hidden="1">0</definedName>
    <definedName name="solver_ver" localSheetId="0" hidden="1">3</definedName>
    <definedName name="SSE">SUMSQ(res)</definedName>
    <definedName name="SST">SUM((y_ybar)^2)</definedName>
    <definedName name="X">OFFSET(Calculations!$A$3, 0, 0, COUNT(xdata), Dashboard!$E$2+1)</definedName>
    <definedName name="xdata">OFFSET(Dashboard!$A$2, 0, 0, COUNTA(Dashboard!$A$2:$A$21), 1)</definedName>
    <definedName name="Xt">TRANSPOSE(X)</definedName>
    <definedName name="XtX">MMULT(Xt, X)</definedName>
    <definedName name="XtXinv">MINVERSE(XtX)</definedName>
    <definedName name="Xty">MMULT(Xt, ydata)</definedName>
    <definedName name="y_ybar">ydata-ybar</definedName>
    <definedName name="ybar">AVERAGE(ydata)</definedName>
    <definedName name="ydata">OFFSET(Dashboard!$B$2, 0, 0, COUNTA(Dashboard!$B$2:$B$21), 1)</definedName>
    <definedName name="ypred">MMULT(X, Beta)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M9" i="2" l="1" a="1"/>
  <c r="M9" i="2" s="1"/>
  <c r="M8" i="2" a="1"/>
  <c r="M8" i="2" s="1"/>
  <c r="J3" i="2" a="1"/>
  <c r="J3" i="2" s="1"/>
  <c r="M5" i="2" a="1"/>
  <c r="M5" i="2" s="1"/>
  <c r="A3" i="2" a="1"/>
  <c r="A3" i="2" s="1"/>
  <c r="D3" i="2" a="1"/>
  <c r="D3" i="2" s="1"/>
  <c r="E3" i="2" a="1"/>
  <c r="E3" i="2" s="1"/>
  <c r="C3" i="2" a="1"/>
  <c r="C3" i="2" s="1"/>
  <c r="G3" i="2" a="1"/>
  <c r="G3" i="2" s="1"/>
  <c r="B3" i="2" a="1"/>
  <c r="B3" i="2" s="1"/>
  <c r="H5" i="1" l="1" a="1"/>
  <c r="H5" i="1" s="1"/>
  <c r="P4" i="2" a="1"/>
  <c r="P4" i="2" s="1"/>
  <c r="H6" i="1" a="1"/>
  <c r="H6" i="1" s="1"/>
  <c r="M3" i="2" a="1"/>
  <c r="M3" i="2" s="1"/>
  <c r="M6" i="2" a="1"/>
  <c r="M6" i="2" s="1"/>
  <c r="I3" i="2" a="1"/>
  <c r="I3" i="2" s="1"/>
  <c r="H3" i="2" a="1"/>
  <c r="H3" i="2" s="1"/>
  <c r="G39" i="2" a="1"/>
  <c r="G32" i="2" a="1"/>
  <c r="G32" i="2" s="1"/>
  <c r="A32" i="2" a="1"/>
  <c r="A32" i="2" s="1"/>
  <c r="A39" i="2" a="1"/>
  <c r="A39" i="2" s="1"/>
  <c r="A25" i="2" a="1"/>
  <c r="A25" i="2" s="1"/>
  <c r="G39" i="2" l="1"/>
  <c r="E5" i="1" s="1"/>
  <c r="E6" i="1"/>
  <c r="E7" i="1"/>
  <c r="E8" i="1"/>
  <c r="E9" i="1"/>
</calcChain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<sst xmlns="http://schemas.openxmlformats.org/spreadsheetml/2006/main" count="29" uniqueCount="26">
  <si>
    <t>x</t>
  </si>
  <si>
    <t>y</t>
  </si>
  <si>
    <t>Order:</t>
  </si>
  <si>
    <t>X</t>
  </si>
  <si>
    <t>XtX</t>
  </si>
  <si>
    <t>Xt</t>
  </si>
  <si>
    <t>XtXinv</t>
  </si>
  <si>
    <t>Xty</t>
  </si>
  <si>
    <t>Beta</t>
  </si>
  <si>
    <t>Beta0</t>
  </si>
  <si>
    <t>Beta1</t>
  </si>
  <si>
    <t>Beta2</t>
  </si>
  <si>
    <t>Beta3</t>
  </si>
  <si>
    <t>Beta4</t>
  </si>
  <si>
    <t>Model Coefficients</t>
  </si>
  <si>
    <t>Standard Error:</t>
  </si>
  <si>
    <r>
      <t>R</t>
    </r>
    <r>
      <rPr>
        <vertAlign val="superscript"/>
        <sz val="11"/>
        <color theme="1"/>
        <rFont val="Calibri"/>
        <family val="2"/>
        <scheme val="minor"/>
      </rPr>
      <t>2</t>
    </r>
    <r>
      <rPr>
        <sz val="11"/>
        <color theme="1"/>
        <rFont val="Calibri"/>
        <family val="2"/>
        <scheme val="minor"/>
      </rPr>
      <t>-Adj:</t>
    </r>
  </si>
  <si>
    <t>ypred</t>
  </si>
  <si>
    <t>res</t>
  </si>
  <si>
    <t>ybar</t>
  </si>
  <si>
    <t>y-ybar</t>
  </si>
  <si>
    <t>SST</t>
  </si>
  <si>
    <t>SSE</t>
  </si>
  <si>
    <t/>
  </si>
  <si>
    <t>n</t>
  </si>
  <si>
    <t>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</si>
</sst>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"/>
  </numFmts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rgb="FF000000"/>
      <name val="Calibri"/>
      <family val="2"/>
    </font>
    <font>
      <vertAlign val="superscript"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2" fontId="0" fillId="0" borderId="3" xfId="0" applyNumberFormat="1" applyBorder="1"/>
    <xf numFmtId="0" fontId="0" fillId="0" borderId="12" xfId="0" applyBorder="1"/>
    <xf numFmtId="0" fontId="0" fillId="0" borderId="13" xfId="0" applyBorder="1"/>
    <xf numFmtId="0" fontId="1" fillId="0" borderId="0" xfId="0" applyFont="1"/>
    <xf numFmtId="0" fontId="0" fillId="0" borderId="6" xfId="0" applyBorder="1" applyAlignment="1">
      <alignment horizontal="right"/>
    </xf>
    <xf numFmtId="164" fontId="0" fillId="0" borderId="3" xfId="0" applyNumberFormat="1" applyBorder="1"/>
    <xf numFmtId="164" fontId="0" fillId="0" borderId="8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10</xdr:row>
          <xdr:rowOff>95250</xdr:rowOff>
        </xdr:from>
        <xdr:to>
          <xdr:col>4</xdr:col>
          <xdr:colOff>581025</xdr:colOff>
          <xdr:row>13</xdr:row>
          <xdr:rowOff>114300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GRADE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152400</xdr:colOff>
          <xdr:row>14</xdr:row>
          <xdr:rowOff>171450</xdr:rowOff>
        </xdr:from>
        <xdr:to>
          <xdr:col>4</xdr:col>
          <xdr:colOff>600075</xdr:colOff>
          <xdr:row>18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CA" sz="14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RESET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96819F-B48A-4F9B-9593-48B24B277745}">
  <sheetPr codeName="Sheet1"/>
  <dimension ref="A1:H21"/>
  <sheetViews>
    <sheetView workbookViewId="0">
      <selection activeCell="H5" sqref="H5"/>
    </sheetView>
  </sheetViews>
  <sheetFormatPr defaultRowHeight="15" x14ac:dyDescent="0.25"/>
  <cols>
    <col min="7" max="7" width="12.85546875" bestFit="1" customWidth="1"/>
  </cols>
  <sheetData>
    <row r="1" spans="1:8" x14ac:dyDescent="0.25">
      <c r="A1" t="s">
        <v>0</v>
      </c>
      <c r="B1" t="s">
        <v>1</v>
      </c>
    </row>
    <row r="2" spans="1:8" x14ac:dyDescent="0.25">
      <c r="A2" s="1">
        <v>1</v>
      </c>
      <c r="B2" s="3">
        <v>5</v>
      </c>
      <c r="D2" s="13" t="s">
        <v>2</v>
      </c>
      <c r="E2" s="14">
        <v>4</v>
      </c>
    </row>
    <row r="3" spans="1:8" x14ac:dyDescent="0.25">
      <c r="A3" s="4">
        <v>2</v>
      </c>
      <c r="B3" s="5">
        <v>6</v>
      </c>
    </row>
    <row r="4" spans="1:8" x14ac:dyDescent="0.25">
      <c r="A4" s="4">
        <v>3</v>
      </c>
      <c r="B4" s="5">
        <v>10</v>
      </c>
      <c r="D4" s="15" t="s">
        <v>14</v>
      </c>
    </row>
    <row r="5" spans="1:8" x14ac:dyDescent="0.25">
      <c r="A5" s="4">
        <v>4</v>
      </c>
      <c r="B5" s="5">
        <v>20</v>
      </c>
      <c r="D5" s="1" t="s">
        <v>9</v>
      </c>
      <c r="E5" s="12">
        <f ca="1">IF(ISBLANK(Calculations!G39), "N/A", Calculations!G39)</f>
        <v>21.055555554918101</v>
      </c>
      <c r="G5" s="1" t="s">
        <v>15</v>
      </c>
      <c r="H5" s="17" cm="1">
        <f t="array" aca="1" ref="H5" ca="1">SQRT(SSE/(n - p))</f>
        <v>1.0789538517199928</v>
      </c>
    </row>
    <row r="6" spans="1:8" ht="17.25" x14ac:dyDescent="0.25">
      <c r="A6" s="4">
        <v>5</v>
      </c>
      <c r="B6" s="5">
        <v>28</v>
      </c>
      <c r="D6" s="4" t="s">
        <v>10</v>
      </c>
      <c r="E6" s="12">
        <f ca="1">IF(ISBLANK(Calculations!G40), "N/A", Calculations!G40)</f>
        <v>-25.961279461080267</v>
      </c>
      <c r="G6" s="16" t="s">
        <v>16</v>
      </c>
      <c r="H6" s="18" cm="1">
        <f t="array" aca="1" ref="H6" ca="1">1-(((SSE)/(n-p))/((SST)/(n-1)))</f>
        <v>0.99403599104751805</v>
      </c>
    </row>
    <row r="7" spans="1:8" x14ac:dyDescent="0.25">
      <c r="A7" s="4">
        <v>6</v>
      </c>
      <c r="B7" s="5">
        <v>33</v>
      </c>
      <c r="D7" s="4" t="s">
        <v>11</v>
      </c>
      <c r="E7" s="12">
        <f ca="1">IF(ISBLANK(Calculations!G41), "N/A", Calculations!G41)</f>
        <v>11.933080808028535</v>
      </c>
    </row>
    <row r="8" spans="1:8" x14ac:dyDescent="0.25">
      <c r="A8" s="4">
        <v>7</v>
      </c>
      <c r="B8" s="5">
        <v>34</v>
      </c>
      <c r="D8" s="4" t="s">
        <v>12</v>
      </c>
      <c r="E8" s="12">
        <f ca="1">IF(ISBLANK(Calculations!G42), "N/A", Calculations!G42)</f>
        <v>-1.6927609427543757</v>
      </c>
    </row>
    <row r="9" spans="1:8" x14ac:dyDescent="0.25">
      <c r="A9" s="4">
        <v>8</v>
      </c>
      <c r="B9" s="5">
        <v>36</v>
      </c>
      <c r="D9" s="6" t="s">
        <v>13</v>
      </c>
      <c r="E9" s="12">
        <f ca="1">IF(ISBLANK(Calculations!G43), "N/A", Calculations!G43)</f>
        <v>7.9545454545112193E-2</v>
      </c>
    </row>
    <row r="10" spans="1:8" x14ac:dyDescent="0.25">
      <c r="A10" s="4">
        <v>9</v>
      </c>
      <c r="B10" s="5">
        <v>42</v>
      </c>
    </row>
    <row r="11" spans="1:8" x14ac:dyDescent="0.25">
      <c r="A11" s="4"/>
      <c r="B11" s="5"/>
    </row>
    <row r="12" spans="1:8" x14ac:dyDescent="0.25">
      <c r="A12" s="4"/>
      <c r="B12" s="5"/>
    </row>
    <row r="13" spans="1:8" x14ac:dyDescent="0.25">
      <c r="A13" s="4"/>
      <c r="B13" s="5"/>
    </row>
    <row r="14" spans="1:8" x14ac:dyDescent="0.25">
      <c r="A14" s="4"/>
      <c r="B14" s="5"/>
    </row>
    <row r="15" spans="1:8" x14ac:dyDescent="0.25">
      <c r="A15" s="4"/>
      <c r="B15" s="5"/>
    </row>
    <row r="16" spans="1:8" x14ac:dyDescent="0.25">
      <c r="A16" s="4"/>
      <c r="B16" s="5"/>
    </row>
    <row r="17" spans="1:2" x14ac:dyDescent="0.25">
      <c r="A17" s="4"/>
      <c r="B17" s="5"/>
    </row>
    <row r="18" spans="1:2" x14ac:dyDescent="0.25">
      <c r="A18" s="4"/>
      <c r="B18" s="5"/>
    </row>
    <row r="19" spans="1:2" x14ac:dyDescent="0.25">
      <c r="A19" s="4"/>
      <c r="B19" s="5"/>
    </row>
    <row r="20" spans="1:2" x14ac:dyDescent="0.25">
      <c r="A20" s="4"/>
      <c r="B20" s="5"/>
    </row>
    <row r="21" spans="1:2" x14ac:dyDescent="0.25">
      <c r="A21" s="6"/>
      <c r="B21" s="8"/>
    </row>
  </sheetData>
  <dataValidations count="1">
    <dataValidation type="list" allowBlank="1" showInputMessage="1" showErrorMessage="1" sqref="E2" xr:uid="{C5531AEE-91C5-4BB0-82DD-F950BD82665C}">
      <formula1>"1,2,3,4"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Grade">
                <anchor moveWithCells="1" sizeWithCells="1">
                  <from>
                    <xdr:col>3</xdr:col>
                    <xdr:colOff>123825</xdr:colOff>
                    <xdr:row>10</xdr:row>
                    <xdr:rowOff>95250</xdr:rowOff>
                  </from>
                  <to>
                    <xdr:col>4</xdr:col>
                    <xdr:colOff>581025</xdr:colOff>
                    <xdr:row>13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5" name="Button 7">
              <controlPr defaultSize="0" print="0" autoFill="0" autoPict="0" macro="[0]!Reset">
                <anchor moveWithCells="1" sizeWithCells="1">
                  <from>
                    <xdr:col>3</xdr:col>
                    <xdr:colOff>152400</xdr:colOff>
                    <xdr:row>14</xdr:row>
                    <xdr:rowOff>171450</xdr:rowOff>
                  </from>
                  <to>
                    <xdr:col>4</xdr:col>
                    <xdr:colOff>600075</xdr:colOff>
                    <xdr:row>18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325ECA-FDC3-4BAB-8721-CE660D8E6435}">
  <sheetPr codeName="Sheet2"/>
  <dimension ref="A2:T43"/>
  <sheetViews>
    <sheetView workbookViewId="0">
      <selection activeCell="M9" sqref="M9"/>
    </sheetView>
  </sheetViews>
  <sheetFormatPr defaultRowHeight="15" x14ac:dyDescent="0.25"/>
  <cols>
    <col min="13" max="13" width="12" bestFit="1" customWidth="1"/>
  </cols>
  <sheetData>
    <row r="2" spans="1:16" x14ac:dyDescent="0.25">
      <c r="A2" t="s">
        <v>3</v>
      </c>
      <c r="B2">
        <v>1</v>
      </c>
      <c r="C2">
        <v>2</v>
      </c>
      <c r="D2">
        <v>3</v>
      </c>
      <c r="E2">
        <v>4</v>
      </c>
      <c r="G2" t="s">
        <v>1</v>
      </c>
      <c r="H2" t="s">
        <v>17</v>
      </c>
      <c r="I2" t="s">
        <v>18</v>
      </c>
      <c r="J2" t="s">
        <v>20</v>
      </c>
    </row>
    <row r="3" spans="1:16" x14ac:dyDescent="0.25">
      <c r="A3" s="1" cm="1">
        <f t="array" aca="1" ref="A3:A11" ca="1">xdata^0</f>
        <v>1</v>
      </c>
      <c r="B3" s="2" cm="1">
        <f t="array" aca="1" ref="B3:B11" ca="1">xdata</f>
        <v>1</v>
      </c>
      <c r="C3" s="2" cm="1">
        <f t="array" aca="1" ref="C3:C11" ca="1">xdata^C$2</f>
        <v>1</v>
      </c>
      <c r="D3" s="2" cm="1">
        <f t="array" aca="1" ref="D3:D11" ca="1">xdata^D$2</f>
        <v>1</v>
      </c>
      <c r="E3" s="2" cm="1">
        <f t="array" aca="1" ref="E3:E11" ca="1">xdata^E$2</f>
        <v>1</v>
      </c>
      <c r="G3" s="9" cm="1">
        <f t="array" aca="1" ref="G3:G11" ca="1">ydata</f>
        <v>5</v>
      </c>
      <c r="H3" s="9" cm="1">
        <f t="array" aca="1" ref="H3:H11" ca="1">ypred</f>
        <v>5.4141414136571058</v>
      </c>
      <c r="I3" s="9" cm="1">
        <f t="array" aca="1" ref="I3:I11" ca="1">res</f>
        <v>-0.41414141365710577</v>
      </c>
      <c r="J3" s="9" cm="1">
        <f t="array" aca="1" ref="J3:J11" ca="1">y_ybar</f>
        <v>-18.777777777777779</v>
      </c>
      <c r="L3" t="s">
        <v>22</v>
      </c>
      <c r="M3" cm="1">
        <f t="array" aca="1" ref="M3" ca="1">SSE</f>
        <v>4.6565656565656326</v>
      </c>
    </row>
    <row r="4" spans="1:16" x14ac:dyDescent="0.25">
      <c r="A4" s="4">
        <f ca="1"/>
        <v>1</v>
      </c>
      <c r="B4">
        <f ca="1"/>
        <v>2</v>
      </c>
      <c r="C4">
        <f ca="1"/>
        <v>4</v>
      </c>
      <c r="D4">
        <f ca="1"/>
        <v>8</v>
      </c>
      <c r="E4" s="5">
        <f ca="1"/>
        <v>16</v>
      </c>
      <c r="G4" s="10">
        <f ca="1"/>
        <v>6</v>
      </c>
      <c r="H4" s="10">
        <f ca="1"/>
        <v>4.5959595955584973</v>
      </c>
      <c r="I4" s="10">
        <f ca="1"/>
        <v>1.4040404044415027</v>
      </c>
      <c r="J4" s="10">
        <f ca="1"/>
        <v>-17.777777777777779</v>
      </c>
      <c r="P4" cm="1">
        <f t="array" aca="1" ref="P4" ca="1">SSE/1.164241</f>
        <v>3.999657851394713</v>
      </c>
    </row>
    <row r="5" spans="1:16" x14ac:dyDescent="0.25">
      <c r="A5" s="4">
        <f ca="1"/>
        <v>1</v>
      </c>
      <c r="B5">
        <f ca="1"/>
        <v>3</v>
      </c>
      <c r="C5">
        <f ca="1"/>
        <v>9</v>
      </c>
      <c r="D5">
        <f ca="1"/>
        <v>27</v>
      </c>
      <c r="E5" s="5">
        <f ca="1"/>
        <v>81</v>
      </c>
      <c r="G5" s="10">
        <f ca="1"/>
        <v>10</v>
      </c>
      <c r="H5" s="10">
        <f ca="1"/>
        <v>11.30808080772006</v>
      </c>
      <c r="I5" s="10">
        <f ca="1"/>
        <v>-1.3080808077200601</v>
      </c>
      <c r="J5" s="10">
        <f ca="1"/>
        <v>-13.777777777777779</v>
      </c>
      <c r="L5" t="s">
        <v>19</v>
      </c>
      <c r="M5" cm="1">
        <f t="array" aca="1" ref="M5" ca="1">ybar</f>
        <v>23.777777777777779</v>
      </c>
    </row>
    <row r="6" spans="1:16" x14ac:dyDescent="0.25">
      <c r="A6" s="4">
        <f ca="1"/>
        <v>1</v>
      </c>
      <c r="B6">
        <f ca="1"/>
        <v>4</v>
      </c>
      <c r="C6">
        <f ca="1"/>
        <v>16</v>
      </c>
      <c r="D6">
        <f ca="1"/>
        <v>64</v>
      </c>
      <c r="E6" s="5">
        <f ca="1"/>
        <v>256</v>
      </c>
      <c r="G6" s="10">
        <f ca="1"/>
        <v>20</v>
      </c>
      <c r="H6" s="10">
        <f ca="1"/>
        <v>20.166666666322271</v>
      </c>
      <c r="I6" s="10">
        <f ca="1"/>
        <v>-0.16666666632227134</v>
      </c>
      <c r="J6" s="10">
        <f ca="1"/>
        <v>-3.7777777777777786</v>
      </c>
      <c r="L6" t="s">
        <v>21</v>
      </c>
      <c r="M6" cm="1">
        <f t="array" aca="1" ref="M6" ca="1">SST</f>
        <v>1561.5555555555554</v>
      </c>
    </row>
    <row r="7" spans="1:16" x14ac:dyDescent="0.25">
      <c r="A7" s="4">
        <f ca="1"/>
        <v>1</v>
      </c>
      <c r="B7">
        <f ca="1"/>
        <v>5</v>
      </c>
      <c r="C7">
        <f ca="1"/>
        <v>25</v>
      </c>
      <c r="D7">
        <f ca="1"/>
        <v>125</v>
      </c>
      <c r="E7" s="5">
        <f ca="1"/>
        <v>625</v>
      </c>
      <c r="G7" s="10">
        <f ca="1"/>
        <v>28</v>
      </c>
      <c r="H7" s="10">
        <f ca="1"/>
        <v>27.696969696628301</v>
      </c>
      <c r="I7" s="10">
        <f ca="1"/>
        <v>0.30303030337169901</v>
      </c>
      <c r="J7" s="10">
        <f ca="1"/>
        <v>4.2222222222222214</v>
      </c>
    </row>
    <row r="8" spans="1:16" x14ac:dyDescent="0.25">
      <c r="A8" s="4">
        <f ca="1"/>
        <v>1</v>
      </c>
      <c r="B8">
        <f ca="1"/>
        <v>6</v>
      </c>
      <c r="C8">
        <f ca="1"/>
        <v>36</v>
      </c>
      <c r="D8">
        <f ca="1"/>
        <v>216</v>
      </c>
      <c r="E8" s="5">
        <f ca="1"/>
        <v>1296</v>
      </c>
      <c r="G8" s="10">
        <f ca="1"/>
        <v>33</v>
      </c>
      <c r="H8" s="10">
        <f ca="1"/>
        <v>32.333333332984012</v>
      </c>
      <c r="I8" s="10">
        <f ca="1"/>
        <v>0.66666666701598842</v>
      </c>
      <c r="J8" s="10">
        <f ca="1"/>
        <v>9.2222222222222214</v>
      </c>
      <c r="L8" t="s">
        <v>24</v>
      </c>
      <c r="M8" cm="1">
        <f t="array" aca="1" ref="M8" ca="1">n</f>
        <v>9</v>
      </c>
    </row>
    <row r="9" spans="1:16" x14ac:dyDescent="0.25">
      <c r="A9" s="4">
        <f ca="1"/>
        <v>1</v>
      </c>
      <c r="B9">
        <f ca="1"/>
        <v>7</v>
      </c>
      <c r="C9">
        <f ca="1"/>
        <v>49</v>
      </c>
      <c r="D9">
        <f ca="1"/>
        <v>343</v>
      </c>
      <c r="E9" s="5">
        <f ca="1"/>
        <v>2401</v>
      </c>
      <c r="G9" s="10">
        <f ca="1"/>
        <v>34</v>
      </c>
      <c r="H9" s="10">
        <f ca="1"/>
        <v>34.419191918817944</v>
      </c>
      <c r="I9" s="10">
        <f ca="1"/>
        <v>-0.41919191881794404</v>
      </c>
      <c r="J9" s="10">
        <f ca="1"/>
        <v>10.222222222222221</v>
      </c>
      <c r="L9" t="s">
        <v>25</v>
      </c>
      <c r="M9" cm="1">
        <f t="array" ref="M9">p</f>
        <v>5</v>
      </c>
    </row>
    <row r="10" spans="1:16" x14ac:dyDescent="0.25">
      <c r="A10" s="4">
        <f ca="1"/>
        <v>1</v>
      </c>
      <c r="B10">
        <f ca="1"/>
        <v>8</v>
      </c>
      <c r="C10">
        <f ca="1"/>
        <v>64</v>
      </c>
      <c r="D10">
        <f ca="1"/>
        <v>512</v>
      </c>
      <c r="E10" s="5">
        <f ca="1"/>
        <v>4096</v>
      </c>
      <c r="G10" s="10">
        <f ca="1"/>
        <v>36</v>
      </c>
      <c r="H10" s="10">
        <f ca="1"/>
        <v>36.207070706641389</v>
      </c>
      <c r="I10" s="10">
        <f ca="1"/>
        <v>-0.20707070664138882</v>
      </c>
      <c r="J10" s="10">
        <f ca="1"/>
        <v>12.222222222222221</v>
      </c>
    </row>
    <row r="11" spans="1:16" x14ac:dyDescent="0.25">
      <c r="A11" s="4">
        <f ca="1"/>
        <v>1</v>
      </c>
      <c r="B11">
        <f ca="1"/>
        <v>9</v>
      </c>
      <c r="C11">
        <f ca="1"/>
        <v>81</v>
      </c>
      <c r="D11">
        <f ca="1"/>
        <v>729</v>
      </c>
      <c r="E11" s="5">
        <f ca="1"/>
        <v>6561</v>
      </c>
      <c r="G11" s="10">
        <f ca="1"/>
        <v>42</v>
      </c>
      <c r="H11" s="10">
        <f ca="1"/>
        <v>41.858585858048286</v>
      </c>
      <c r="I11" s="10">
        <f ca="1"/>
        <v>0.14141414195171365</v>
      </c>
      <c r="J11" s="10">
        <f ca="1"/>
        <v>18.222222222222221</v>
      </c>
    </row>
    <row r="12" spans="1:16" x14ac:dyDescent="0.25">
      <c r="A12" s="4"/>
      <c r="E12" s="5"/>
      <c r="G12" s="10"/>
      <c r="H12" s="10"/>
      <c r="I12" s="10"/>
      <c r="J12" s="10"/>
    </row>
    <row r="13" spans="1:16" x14ac:dyDescent="0.25">
      <c r="A13" s="4"/>
      <c r="E13" s="5"/>
      <c r="G13" s="10"/>
      <c r="H13" s="10"/>
      <c r="I13" s="10"/>
      <c r="J13" s="10"/>
    </row>
    <row r="14" spans="1:16" x14ac:dyDescent="0.25">
      <c r="A14" s="4"/>
      <c r="E14" s="5"/>
      <c r="G14" s="10"/>
      <c r="H14" s="10"/>
      <c r="I14" s="10"/>
      <c r="J14" s="10"/>
    </row>
    <row r="15" spans="1:16" x14ac:dyDescent="0.25">
      <c r="A15" s="4"/>
      <c r="E15" s="5"/>
      <c r="G15" s="10"/>
      <c r="H15" s="10"/>
      <c r="I15" s="10"/>
      <c r="J15" s="10"/>
    </row>
    <row r="16" spans="1:16" x14ac:dyDescent="0.25">
      <c r="A16" s="4"/>
      <c r="E16" s="5"/>
      <c r="G16" s="10"/>
      <c r="H16" s="10"/>
      <c r="I16" s="10"/>
      <c r="J16" s="10"/>
    </row>
    <row r="17" spans="1:20" x14ac:dyDescent="0.25">
      <c r="A17" s="4"/>
      <c r="E17" s="5"/>
      <c r="G17" s="10"/>
      <c r="H17" s="10"/>
      <c r="I17" s="10"/>
      <c r="J17" s="10"/>
    </row>
    <row r="18" spans="1:20" x14ac:dyDescent="0.25">
      <c r="A18" s="4"/>
      <c r="E18" s="5"/>
      <c r="G18" s="10"/>
      <c r="H18" s="10"/>
      <c r="I18" s="10"/>
      <c r="J18" s="10"/>
    </row>
    <row r="19" spans="1:20" x14ac:dyDescent="0.25">
      <c r="A19" s="4"/>
      <c r="E19" s="5"/>
      <c r="G19" s="10"/>
      <c r="H19" s="10"/>
      <c r="I19" s="10"/>
      <c r="J19" s="10"/>
    </row>
    <row r="20" spans="1:20" x14ac:dyDescent="0.25">
      <c r="A20" s="4"/>
      <c r="E20" s="5"/>
      <c r="G20" s="10"/>
      <c r="H20" s="10"/>
      <c r="I20" s="10"/>
      <c r="J20" s="10"/>
    </row>
    <row r="21" spans="1:20" x14ac:dyDescent="0.25">
      <c r="A21" s="4"/>
      <c r="E21" s="5"/>
      <c r="G21" s="10"/>
      <c r="H21" s="10"/>
      <c r="I21" s="10"/>
      <c r="J21" s="10"/>
    </row>
    <row r="22" spans="1:20" x14ac:dyDescent="0.25">
      <c r="A22" s="6"/>
      <c r="B22" s="7"/>
      <c r="C22" s="7"/>
      <c r="D22" s="7"/>
      <c r="E22" s="8"/>
      <c r="G22" s="11"/>
      <c r="H22" s="11"/>
      <c r="I22" s="11"/>
      <c r="J22" s="11"/>
    </row>
    <row r="24" spans="1:20" x14ac:dyDescent="0.25">
      <c r="A24" t="s">
        <v>5</v>
      </c>
    </row>
    <row r="25" spans="1:20" x14ac:dyDescent="0.25">
      <c r="A25" cm="1">
        <f t="array" aca="1" ref="A25:I29" ca="1">Xt</f>
        <v>1</v>
      </c>
      <c r="B25" s="2">
        <f ca="1"/>
        <v>1</v>
      </c>
      <c r="C25" s="2">
        <f ca="1"/>
        <v>1</v>
      </c>
      <c r="D25" s="2">
        <f ca="1"/>
        <v>1</v>
      </c>
      <c r="E25" s="2">
        <f ca="1"/>
        <v>1</v>
      </c>
      <c r="F25" s="2">
        <f ca="1"/>
        <v>1</v>
      </c>
      <c r="G25" s="2">
        <f ca="1"/>
        <v>1</v>
      </c>
      <c r="H25" s="2">
        <f ca="1"/>
        <v>1</v>
      </c>
      <c r="I25" s="2">
        <f ca="1"/>
        <v>1</v>
      </c>
      <c r="J25" s="2"/>
      <c r="K25" s="2"/>
      <c r="L25" s="2"/>
      <c r="M25" s="2"/>
      <c r="N25" s="2"/>
      <c r="O25" s="2"/>
      <c r="P25" s="2"/>
      <c r="Q25" s="2"/>
      <c r="R25" s="2"/>
      <c r="S25" s="2"/>
      <c r="T25" s="3"/>
    </row>
    <row r="26" spans="1:20" x14ac:dyDescent="0.25">
      <c r="A26" s="4">
        <f ca="1"/>
        <v>1</v>
      </c>
      <c r="B26">
        <f ca="1"/>
        <v>2</v>
      </c>
      <c r="C26">
        <f ca="1"/>
        <v>3</v>
      </c>
      <c r="D26">
        <f ca="1"/>
        <v>4</v>
      </c>
      <c r="E26">
        <f ca="1"/>
        <v>5</v>
      </c>
      <c r="F26">
        <f ca="1"/>
        <v>6</v>
      </c>
      <c r="G26">
        <f ca="1"/>
        <v>7</v>
      </c>
      <c r="H26">
        <f ca="1"/>
        <v>8</v>
      </c>
      <c r="I26">
        <f ca="1"/>
        <v>9</v>
      </c>
      <c r="T26" s="5"/>
    </row>
    <row r="27" spans="1:20" x14ac:dyDescent="0.25">
      <c r="A27" s="4">
        <f ca="1"/>
        <v>1</v>
      </c>
      <c r="B27">
        <f ca="1"/>
        <v>4</v>
      </c>
      <c r="C27">
        <f ca="1"/>
        <v>9</v>
      </c>
      <c r="D27">
        <f ca="1"/>
        <v>16</v>
      </c>
      <c r="E27">
        <f ca="1"/>
        <v>25</v>
      </c>
      <c r="F27">
        <f ca="1"/>
        <v>36</v>
      </c>
      <c r="G27">
        <f ca="1"/>
        <v>49</v>
      </c>
      <c r="H27">
        <f ca="1"/>
        <v>64</v>
      </c>
      <c r="I27">
        <f ca="1"/>
        <v>81</v>
      </c>
      <c r="T27" s="5"/>
    </row>
    <row r="28" spans="1:20" x14ac:dyDescent="0.25">
      <c r="A28" s="4">
        <f ca="1"/>
        <v>1</v>
      </c>
      <c r="B28">
        <f ca="1"/>
        <v>8</v>
      </c>
      <c r="C28">
        <f ca="1"/>
        <v>27</v>
      </c>
      <c r="D28">
        <f ca="1"/>
        <v>64</v>
      </c>
      <c r="E28">
        <f ca="1"/>
        <v>125</v>
      </c>
      <c r="F28">
        <f ca="1"/>
        <v>216</v>
      </c>
      <c r="G28">
        <f ca="1"/>
        <v>343</v>
      </c>
      <c r="H28">
        <f ca="1"/>
        <v>512</v>
      </c>
      <c r="I28">
        <f ca="1"/>
        <v>729</v>
      </c>
      <c r="T28" s="5"/>
    </row>
    <row r="29" spans="1:20" x14ac:dyDescent="0.25">
      <c r="A29" s="6">
        <f ca="1"/>
        <v>1</v>
      </c>
      <c r="B29" s="7">
        <f ca="1"/>
        <v>16</v>
      </c>
      <c r="C29" s="7">
        <f ca="1"/>
        <v>81</v>
      </c>
      <c r="D29" s="7">
        <f ca="1"/>
        <v>256</v>
      </c>
      <c r="E29" s="7">
        <f ca="1"/>
        <v>625</v>
      </c>
      <c r="F29" s="7">
        <f ca="1"/>
        <v>1296</v>
      </c>
      <c r="G29" s="7">
        <f ca="1"/>
        <v>2401</v>
      </c>
      <c r="H29" s="7">
        <f ca="1"/>
        <v>4096</v>
      </c>
      <c r="I29" s="7">
        <f ca="1"/>
        <v>6561</v>
      </c>
      <c r="J29" s="7"/>
      <c r="K29" s="7"/>
      <c r="L29" s="7"/>
      <c r="M29" s="7"/>
      <c r="N29" s="7"/>
      <c r="O29" s="7"/>
      <c r="P29" s="7"/>
      <c r="Q29" s="7"/>
      <c r="R29" s="7"/>
      <c r="S29" s="7"/>
      <c r="T29" s="8"/>
    </row>
    <row r="31" spans="1:20" x14ac:dyDescent="0.25">
      <c r="A31" t="s">
        <v>4</v>
      </c>
      <c r="G31" t="s">
        <v>7</v>
      </c>
    </row>
    <row r="32" spans="1:20" x14ac:dyDescent="0.25">
      <c r="A32" s="1" cm="1">
        <f t="array" aca="1" ref="A32:E36" ca="1">XtX</f>
        <v>9</v>
      </c>
      <c r="B32" s="2">
        <f ca="1"/>
        <v>45</v>
      </c>
      <c r="C32" s="2">
        <f ca="1"/>
        <v>285</v>
      </c>
      <c r="D32" s="2">
        <f ca="1"/>
        <v>2025</v>
      </c>
      <c r="E32" s="3">
        <f ca="1"/>
        <v>15333</v>
      </c>
      <c r="G32" s="9" cm="1">
        <f t="array" aca="1" ref="G32:G36" ca="1">Xty</f>
        <v>214</v>
      </c>
    </row>
    <row r="33" spans="1:12" x14ac:dyDescent="0.25">
      <c r="A33" s="4">
        <f ca="1"/>
        <v>45</v>
      </c>
      <c r="B33">
        <f ca="1"/>
        <v>285</v>
      </c>
      <c r="C33">
        <f ca="1"/>
        <v>2025</v>
      </c>
      <c r="D33">
        <f ca="1"/>
        <v>15333</v>
      </c>
      <c r="E33" s="5">
        <f ca="1"/>
        <v>120825</v>
      </c>
      <c r="G33" s="10">
        <f ca="1"/>
        <v>1369</v>
      </c>
      <c r="L33" t="s">
        <v>23</v>
      </c>
    </row>
    <row r="34" spans="1:12" x14ac:dyDescent="0.25">
      <c r="A34" s="4">
        <f ca="1"/>
        <v>285</v>
      </c>
      <c r="B34">
        <f ca="1"/>
        <v>2025</v>
      </c>
      <c r="C34">
        <f ca="1"/>
        <v>15333</v>
      </c>
      <c r="D34">
        <f ca="1"/>
        <v>120825</v>
      </c>
      <c r="E34" s="5">
        <f ca="1"/>
        <v>978405</v>
      </c>
      <c r="G34" s="10">
        <f ca="1"/>
        <v>9699</v>
      </c>
    </row>
    <row r="35" spans="1:12" x14ac:dyDescent="0.25">
      <c r="A35" s="4">
        <f ca="1"/>
        <v>2025</v>
      </c>
      <c r="B35">
        <f ca="1"/>
        <v>15333</v>
      </c>
      <c r="C35">
        <f ca="1"/>
        <v>120825</v>
      </c>
      <c r="D35">
        <f ca="1"/>
        <v>978405</v>
      </c>
      <c r="E35" s="5">
        <f ca="1"/>
        <v>8080425</v>
      </c>
      <c r="G35" s="10">
        <f ca="1"/>
        <v>72943</v>
      </c>
    </row>
    <row r="36" spans="1:12" x14ac:dyDescent="0.25">
      <c r="A36" s="6">
        <f ca="1"/>
        <v>15333</v>
      </c>
      <c r="B36" s="7">
        <f ca="1"/>
        <v>120825</v>
      </c>
      <c r="C36" s="7">
        <f ca="1"/>
        <v>978405</v>
      </c>
      <c r="D36" s="7">
        <f ca="1"/>
        <v>8080425</v>
      </c>
      <c r="E36" s="8">
        <f ca="1"/>
        <v>67731333</v>
      </c>
      <c r="G36" s="11">
        <f ca="1"/>
        <v>570951</v>
      </c>
    </row>
    <row r="38" spans="1:12" x14ac:dyDescent="0.25">
      <c r="A38" t="s">
        <v>6</v>
      </c>
      <c r="G38" t="s">
        <v>8</v>
      </c>
    </row>
    <row r="39" spans="1:12" x14ac:dyDescent="0.25">
      <c r="A39" s="1" cm="1">
        <f t="array" aca="1" ref="A39:E43" ca="1">XtXinv</f>
        <v>14.888888888836419</v>
      </c>
      <c r="B39" s="2">
        <f ca="1"/>
        <v>-17.592592592522575</v>
      </c>
      <c r="C39" s="2">
        <f ca="1"/>
        <v>6.319444444417238</v>
      </c>
      <c r="D39" s="2">
        <f ca="1"/>
        <v>-0.87962962962563307</v>
      </c>
      <c r="E39" s="3">
        <f ca="1"/>
        <v>4.1666666666468906E-2</v>
      </c>
      <c r="G39" s="9" cm="1">
        <f t="array" aca="1" ref="G39:G43" ca="1">Beta</f>
        <v>21.055555554918101</v>
      </c>
    </row>
    <row r="40" spans="1:12" x14ac:dyDescent="0.25">
      <c r="A40" s="4">
        <f ca="1"/>
        <v>-17.59259259252353</v>
      </c>
      <c r="B40">
        <f ca="1"/>
        <v>22.299328757570084</v>
      </c>
      <c r="C40">
        <f ca="1"/>
        <v>-8.3191692566334634</v>
      </c>
      <c r="D40">
        <f ca="1"/>
        <v>1.1855521022135</v>
      </c>
      <c r="E40" s="5">
        <f ca="1"/>
        <v>-5.7060994560734386E-2</v>
      </c>
      <c r="G40" s="10">
        <f ca="1"/>
        <v>-25.961279461080267</v>
      </c>
    </row>
    <row r="41" spans="1:12" x14ac:dyDescent="0.25">
      <c r="A41" s="4">
        <f ca="1"/>
        <v>6.3194444444178179</v>
      </c>
      <c r="B41">
        <f ca="1"/>
        <v>-8.3191692566337974</v>
      </c>
      <c r="C41">
        <f ca="1"/>
        <v>3.1935460372822422</v>
      </c>
      <c r="D41">
        <f ca="1"/>
        <v>-0.46458171457968367</v>
      </c>
      <c r="E41" s="5">
        <f ca="1"/>
        <v>2.2702991452891199E-2</v>
      </c>
      <c r="G41" s="10">
        <f ca="1"/>
        <v>11.933080808028535</v>
      </c>
    </row>
    <row r="42" spans="1:12" x14ac:dyDescent="0.25">
      <c r="A42" s="4">
        <f ca="1"/>
        <v>-0.87962962962573532</v>
      </c>
      <c r="B42">
        <f ca="1"/>
        <v>1.1855521022135838</v>
      </c>
      <c r="C42">
        <f ca="1"/>
        <v>-0.46458171457969755</v>
      </c>
      <c r="D42">
        <f ca="1"/>
        <v>6.868902702206342E-2</v>
      </c>
      <c r="E42" s="5">
        <f ca="1"/>
        <v>-3.3993783993637428E-3</v>
      </c>
      <c r="G42" s="10">
        <f ca="1"/>
        <v>-1.6927609427543757</v>
      </c>
    </row>
    <row r="43" spans="1:12" x14ac:dyDescent="0.25">
      <c r="A43" s="6">
        <f ca="1"/>
        <v>4.166666666647538E-2</v>
      </c>
      <c r="B43" s="7">
        <f ca="1"/>
        <v>-5.7060994560739903E-2</v>
      </c>
      <c r="C43" s="7">
        <f ca="1"/>
        <v>2.2702991452892399E-2</v>
      </c>
      <c r="D43" s="7">
        <f ca="1"/>
        <v>-3.3993783993638183E-3</v>
      </c>
      <c r="E43" s="8">
        <f ca="1"/>
        <v>1.6996891996820028E-4</v>
      </c>
      <c r="G43" s="11">
        <f ca="1"/>
        <v>7.9545454545112193E-2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985B7-030B-4E48-8EBB-1009D186E8D8}">
  <sheetPr codeName="Sheet4"/>
  <dimension ref="A1:B21"/>
  <sheetViews>
    <sheetView tabSelected="1" workbookViewId="0">
      <selection activeCell="A2" sqref="A2:B21"/>
    </sheetView>
  </sheetViews>
  <sheetFormatPr defaultRowHeight="15" x14ac:dyDescent="0.25"/>
  <sheetData>
    <row r="1" spans="1:2" x14ac:dyDescent="0.25">
      <c r="A1" t="s">
        <v>0</v>
      </c>
      <c r="B1" t="s">
        <v>1</v>
      </c>
    </row>
    <row r="2" spans="1:2" x14ac:dyDescent="0.25">
      <c r="A2" s="1">
        <v>1</v>
      </c>
      <c r="B2" s="3">
        <v>5</v>
      </c>
    </row>
    <row r="3" spans="1:2" x14ac:dyDescent="0.25">
      <c r="A3" s="4">
        <v>2</v>
      </c>
      <c r="B3" s="5">
        <v>6</v>
      </c>
    </row>
    <row r="4" spans="1:2" x14ac:dyDescent="0.25">
      <c r="A4" s="4">
        <v>3</v>
      </c>
      <c r="B4" s="5">
        <v>10</v>
      </c>
    </row>
    <row r="5" spans="1:2" x14ac:dyDescent="0.25">
      <c r="A5" s="4">
        <v>4</v>
      </c>
      <c r="B5" s="5">
        <v>20</v>
      </c>
    </row>
    <row r="6" spans="1:2" x14ac:dyDescent="0.25">
      <c r="A6" s="4">
        <v>5</v>
      </c>
      <c r="B6" s="5">
        <v>28</v>
      </c>
    </row>
    <row r="7" spans="1:2" x14ac:dyDescent="0.25">
      <c r="A7" s="4">
        <v>6</v>
      </c>
      <c r="B7" s="5">
        <v>33</v>
      </c>
    </row>
    <row r="8" spans="1:2" x14ac:dyDescent="0.25">
      <c r="A8" s="4">
        <v>7</v>
      </c>
      <c r="B8" s="5">
        <v>34</v>
      </c>
    </row>
    <row r="9" spans="1:2" x14ac:dyDescent="0.25">
      <c r="A9" s="4">
        <v>8</v>
      </c>
      <c r="B9" s="5">
        <v>36</v>
      </c>
    </row>
    <row r="10" spans="1:2" x14ac:dyDescent="0.25">
      <c r="A10" s="4">
        <v>9</v>
      </c>
      <c r="B10" s="5">
        <v>42</v>
      </c>
    </row>
    <row r="11" spans="1:2" x14ac:dyDescent="0.25">
      <c r="A11" s="4"/>
      <c r="B11" s="5"/>
    </row>
    <row r="12" spans="1:2" x14ac:dyDescent="0.25">
      <c r="A12" s="4"/>
      <c r="B12" s="5"/>
    </row>
    <row r="13" spans="1:2" x14ac:dyDescent="0.25">
      <c r="A13" s="4"/>
      <c r="B13" s="5"/>
    </row>
    <row r="14" spans="1:2" x14ac:dyDescent="0.25">
      <c r="A14" s="4"/>
      <c r="B14" s="5"/>
    </row>
    <row r="15" spans="1:2" x14ac:dyDescent="0.25">
      <c r="A15" s="4"/>
      <c r="B15" s="5"/>
    </row>
    <row r="16" spans="1:2" x14ac:dyDescent="0.25">
      <c r="A16" s="4"/>
      <c r="B16" s="5"/>
    </row>
    <row r="17" spans="1:2" x14ac:dyDescent="0.25">
      <c r="A17" s="4"/>
      <c r="B17" s="5"/>
    </row>
    <row r="18" spans="1:2" x14ac:dyDescent="0.25">
      <c r="A18" s="4"/>
      <c r="B18" s="5"/>
    </row>
    <row r="19" spans="1:2" x14ac:dyDescent="0.25">
      <c r="A19" s="4"/>
      <c r="B19" s="5"/>
    </row>
    <row r="20" spans="1:2" x14ac:dyDescent="0.25">
      <c r="A20" s="4"/>
      <c r="B20" s="5"/>
    </row>
    <row r="21" spans="1:2" x14ac:dyDescent="0.25">
      <c r="A21" s="6"/>
      <c r="B21" s="8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Dashboard</vt:lpstr>
      <vt:lpstr>Calculations</vt:lpstr>
      <vt:lpstr>Original 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Charlie</dc:creator>
  <cp:lastModifiedBy>Kesavar Kabilar</cp:lastModifiedBy>
  <dcterms:created xsi:type="dcterms:W3CDTF">2021-01-15T21:37:37Z</dcterms:created>
  <dcterms:modified xsi:type="dcterms:W3CDTF">2023-09-07T14:59:58Z</dcterms:modified>
</cp:coreProperties>
</file>